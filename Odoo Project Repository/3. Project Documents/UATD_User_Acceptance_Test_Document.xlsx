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Test Plan" sheetId="2" state="visible" r:id="rId4"/>
    <sheet name="Acceptance Criteria" sheetId="3" state="visible" r:id="rId5"/>
    <sheet name="Test Cases" sheetId="4" state="visible" r:id="rId6"/>
    <sheet name="Results Summary" sheetId="5" state="visible" r:id="rId7"/>
    <sheet name="Defects" sheetId="6" state="visible" r:id="rId8"/>
    <sheet name="Sign-off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<sst xmlns="http://schemas.openxmlformats.org/spreadsheetml/2006/main" count="379" uniqueCount="323">
  <si>
    <t xml:space="preserve">User Acceptance Test Document (UATD)</t>
  </si>
  <si>
    <t xml:space="preserve">Smart Core - Beitak Smart Odoo ERP Implementation | Khomasi ERP | Version 1.0 | 17 Dec 2026</t>
  </si>
  <si>
    <t xml:space="preserve">Sheet</t>
  </si>
  <si>
    <t xml:space="preserve">Content</t>
  </si>
  <si>
    <t xml:space="preserve">Instructor requirement</t>
  </si>
  <si>
    <t xml:space="preserve">Test Plan</t>
  </si>
  <si>
    <t xml:space="preserve">Two UAT cycles and sign-off</t>
  </si>
  <si>
    <t xml:space="preserve">Testing / UAT phase</t>
  </si>
  <si>
    <t xml:space="preserve">Acceptance Criteria</t>
  </si>
  <si>
    <t xml:space="preserve">Pass rules and defect severity</t>
  </si>
  <si>
    <t xml:space="preserve">UAT governance</t>
  </si>
  <si>
    <t xml:space="preserve">Test Cases</t>
  </si>
  <si>
    <t xml:space="preserve">25 scenarios covering all requirements</t>
  </si>
  <si>
    <t xml:space="preserve">UATD</t>
  </si>
  <si>
    <t xml:space="preserve">Results Summary</t>
  </si>
  <si>
    <t xml:space="preserve">Automatic pass / fail summary</t>
  </si>
  <si>
    <t xml:space="preserve">UAT reporting</t>
  </si>
  <si>
    <t xml:space="preserve">Defects</t>
  </si>
  <si>
    <t xml:space="preserve">Defect log</t>
  </si>
  <si>
    <t xml:space="preserve">UAT</t>
  </si>
  <si>
    <t xml:space="preserve">Sign-off</t>
  </si>
  <si>
    <t xml:space="preserve">Signatures of key users and sponsor</t>
  </si>
  <si>
    <t xml:space="preserve">M5 sign-off</t>
  </si>
  <si>
    <t xml:space="preserve">Assumptions</t>
  </si>
  <si>
    <t xml:space="preserve">Odoo version</t>
  </si>
  <si>
    <t xml:space="preserve">Files target Odoo 18/19 field names (type=Goods + is_storable). On Odoo 17 replace 'type'+'is_storable' with 'detailed_type' = product.</t>
  </si>
  <si>
    <t xml:space="preserve">Database</t>
  </si>
  <si>
    <t xml:space="preserve">Designed for a NEW clean database with the Egypt fiscal localization. Importing into the old database will clash with existing account codes and products.</t>
  </si>
  <si>
    <t xml:space="preserve">Exchange rate</t>
  </si>
  <si>
    <t xml:space="preserve">USD/EGP = 50.00 on 2027-01-01. Project assumption, not an official CBE rate.</t>
  </si>
  <si>
    <t xml:space="preserve">Landed costs</t>
  </si>
  <si>
    <t xml:space="preserve">Cost of imported items = FOB price x 50 x 1.10 (about 10% for freight, duties, clearance and insurance). Assumption.</t>
  </si>
  <si>
    <t xml:space="preserve">Sales prices</t>
  </si>
  <si>
    <t xml:space="preserve">Sales prices are VAT-exclusive. VAT 14% comes from the Egypt localization default taxes.</t>
  </si>
  <si>
    <t xml:space="preserve">Costing</t>
  </si>
  <si>
    <t xml:space="preserve">AVCO + automated (perpetual) valuation on all stockable categories. Needed for Landed Costs.</t>
  </si>
  <si>
    <t xml:space="preserve">Opening stock</t>
  </si>
  <si>
    <t xml:space="preserve">Stock is loaded through Physical Inventory with accounting date 2027-01-01. Its counterpart is account 190100 Opening Stock Clearing, which the opening journal entry closes to zero.</t>
  </si>
  <si>
    <t xml:space="preserve">Taxes</t>
  </si>
  <si>
    <t xml:space="preserve">VAT 14% and withholding tax 1% / 2% / 3% (team decision). Rates, categories and thresholds must be reviewed by a tax specialist before go-live.</t>
  </si>
  <si>
    <t xml:space="preserve">Personal data</t>
  </si>
  <si>
    <t xml:space="preserve">All names, emails, phones, tax IDs and bank numbers are fictional placeholders (.example domains).</t>
  </si>
  <si>
    <t xml:space="preserve">UAT Plan</t>
  </si>
  <si>
    <t xml:space="preserve">Two cycles in the test database with migrated data. A case passes only when the expected result is met in full.</t>
  </si>
  <si>
    <t xml:space="preserve">Stage</t>
  </si>
  <si>
    <t xml:space="preserve">Activity</t>
  </si>
  <si>
    <t xml:space="preserve">Start</t>
  </si>
  <si>
    <t xml:space="preserve">End</t>
  </si>
  <si>
    <t xml:space="preserve">Who</t>
  </si>
  <si>
    <t xml:space="preserve">UAT 1</t>
  </si>
  <si>
    <t xml:space="preserve">Cycle 1 - execute all test cases</t>
  </si>
  <si>
    <t xml:space="preserve">06 Dec 2026</t>
  </si>
  <si>
    <t xml:space="preserve">10 Dec 2026</t>
  </si>
  <si>
    <t xml:space="preserve">Key users with consultant support</t>
  </si>
  <si>
    <t xml:space="preserve">Fix</t>
  </si>
  <si>
    <t xml:space="preserve">Defect fixing and reconfiguration</t>
  </si>
  <si>
    <t xml:space="preserve">13 Dec 2026</t>
  </si>
  <si>
    <t xml:space="preserve">14 Dec 2026</t>
  </si>
  <si>
    <t xml:space="preserve">Khomasi ERP consultants</t>
  </si>
  <si>
    <t xml:space="preserve">UAT 2</t>
  </si>
  <si>
    <t xml:space="preserve">Cycle 2 - retest failed cases and regression</t>
  </si>
  <si>
    <t xml:space="preserve">15 Dec 2026</t>
  </si>
  <si>
    <t xml:space="preserve">16 Dec 2026</t>
  </si>
  <si>
    <t xml:space="preserve">Key users</t>
  </si>
  <si>
    <t xml:space="preserve">Review results and sign the UATD</t>
  </si>
  <si>
    <t xml:space="preserve">17 Dec 2026</t>
  </si>
  <si>
    <t xml:space="preserve">Sponsor and key users</t>
  </si>
  <si>
    <t xml:space="preserve">Acceptance Criteria and Defect Severity</t>
  </si>
  <si>
    <t xml:space="preserve">Agreed before UAT starts.</t>
  </si>
  <si>
    <t xml:space="preserve">Item</t>
  </si>
  <si>
    <t xml:space="preserve">Definition</t>
  </si>
  <si>
    <t xml:space="preserve">Consequence</t>
  </si>
  <si>
    <t xml:space="preserve">Pass</t>
  </si>
  <si>
    <t xml:space="preserve">All Must requirements pass</t>
  </si>
  <si>
    <t xml:space="preserve">Go-live can proceed</t>
  </si>
  <si>
    <t xml:space="preserve">Conditional pass</t>
  </si>
  <si>
    <t xml:space="preserve">All Must pass; some Should / Could open with an agreed date</t>
  </si>
  <si>
    <t xml:space="preserve">Go-live proceeds; open items tracked</t>
  </si>
  <si>
    <t xml:space="preserve">Fail</t>
  </si>
  <si>
    <t xml:space="preserve">Any Must requirement fails</t>
  </si>
  <si>
    <t xml:space="preserve">Go-live postponed until retested</t>
  </si>
  <si>
    <t xml:space="preserve">Severity 1</t>
  </si>
  <si>
    <t xml:space="preserve">Blocks a core process (cannot invoice, cannot deliver)</t>
  </si>
  <si>
    <t xml:space="preserve">Fixed within 1 working day</t>
  </si>
  <si>
    <t xml:space="preserve">Severity 2</t>
  </si>
  <si>
    <t xml:space="preserve">Workaround exists</t>
  </si>
  <si>
    <t xml:space="preserve">Fixed before go-live</t>
  </si>
  <si>
    <t xml:space="preserve">Severity 3</t>
  </si>
  <si>
    <t xml:space="preserve">Cosmetic or reporting detail</t>
  </si>
  <si>
    <t xml:space="preserve">Fixed during hypercare</t>
  </si>
  <si>
    <t xml:space="preserve">User Acceptance Test Cases</t>
  </si>
  <si>
    <t xml:space="preserve">25 end-to-end scenarios covering all 70 requirements. Module = the module that owns the case; a case often crosses modules (see Requirements). Testers fill the last four columns.</t>
  </si>
  <si>
    <t xml:space="preserve">Test ID</t>
  </si>
  <si>
    <t xml:space="preserve">Module</t>
  </si>
  <si>
    <t xml:space="preserve">Scenario</t>
  </si>
  <si>
    <t xml:space="preserve">Tester</t>
  </si>
  <si>
    <t xml:space="preserve">Steps</t>
  </si>
  <si>
    <t xml:space="preserve">Expected Result</t>
  </si>
  <si>
    <t xml:space="preserve">Requirements</t>
  </si>
  <si>
    <t xml:space="preserve">Priority</t>
  </si>
  <si>
    <t xml:space="preserve">Actual Result</t>
  </si>
  <si>
    <t xml:space="preserve">Status (Pass / Fail)</t>
  </si>
  <si>
    <t xml:space="preserve">Tested by</t>
  </si>
  <si>
    <t xml:space="preserve">Date</t>
  </si>
  <si>
    <t xml:space="preserve">TC-01</t>
  </si>
  <si>
    <t xml:space="preserve">CRM</t>
  </si>
  <si>
    <t xml:space="preserve">Capture a lead and convert it</t>
  </si>
  <si>
    <t xml:space="preserve">Sales Representative</t>
  </si>
  <si>
    <t xml:space="preserve">1. CRM &gt; New lead 'Hurghada Electronics Hub', source Exhibition, team Upper Egypt
2. Schedule a call activity
3. Move to Qualified, then convert to opportunity
4. Log a lost reason on another test lead</t>
  </si>
  <si>
    <t xml:space="preserve">Lead appears in the rep's pipeline only; activity shows in the chatter; lost reason recorded in the analysis</t>
  </si>
  <si>
    <t xml:space="preserve">BR-CRM-01, BR-CRM-02, BR-CRM-03, BR-CRM-04</t>
  </si>
  <si>
    <t xml:space="preserve">Must</t>
  </si>
  <si>
    <t xml:space="preserve">TC-02</t>
  </si>
  <si>
    <t xml:space="preserve">Sales</t>
  </si>
  <si>
    <t xml:space="preserve">Quotation with wholesale price list</t>
  </si>
  <si>
    <t xml:space="preserve">1. New quotation for El Nour Electronics
2. Add 12 x LG Smart TV 50 Inch
3. Check unit price against the Wholesale price list (7% off from 10 units)</t>
  </si>
  <si>
    <t xml:space="preserve">Price applied automatically from the price list; margin visible to the manager</t>
  </si>
  <si>
    <t xml:space="preserve">BR-SAL-01, BR-SAL-02, BR-SAL-09</t>
  </si>
  <si>
    <t xml:space="preserve">TC-03</t>
  </si>
  <si>
    <t xml:space="preserve">Credit limit warning and approval</t>
  </si>
  <si>
    <t xml:space="preserve">Sales Rep + Finance Manager</t>
  </si>
  <si>
    <t xml:space="preserve">1. Create an order for a customer whose exposure exceeds the credit limit
2. Try to confirm
3. Finance Manager approves</t>
  </si>
  <si>
    <t xml:space="preserve">Warning shown on the order; confirmation blocked until the Finance Manager approves</t>
  </si>
  <si>
    <t xml:space="preserve">BR-SAL-03, BR-SAL-04</t>
  </si>
  <si>
    <t xml:space="preserve">TC-04</t>
  </si>
  <si>
    <t xml:space="preserve">Discount above 10%</t>
  </si>
  <si>
    <t xml:space="preserve">Sales Rep + Sales Manager</t>
  </si>
  <si>
    <t xml:space="preserve">1. Set a 15% line discount
2. Try to confirm the order
3. Sales Manager approves</t>
  </si>
  <si>
    <t xml:space="preserve">Confirmation requires Sales Manager approval; approval logged in the chatter</t>
  </si>
  <si>
    <t xml:space="preserve">BR-SAL-05</t>
  </si>
  <si>
    <t xml:space="preserve">Should</t>
  </si>
  <si>
    <t xml:space="preserve">TC-05</t>
  </si>
  <si>
    <t xml:space="preserve">Deliver and invoice</t>
  </si>
  <si>
    <t xml:space="preserve">Warehouse Keeper + Accountant</t>
  </si>
  <si>
    <t xml:space="preserve">1. Confirm the order
2. Pick, pack and ship with serial scanning
3. Create the invoice
4. Open the journal items</t>
  </si>
  <si>
    <t xml:space="preserve">Invoice shows delivered quantities only; entries: AR / revenue + VAT, and COGS / stock output; bilingual layout prints correctly</t>
  </si>
  <si>
    <t xml:space="preserve">BR-SAL-06, BR-SAL-08, BR-INV-06, BR-ACC-12</t>
  </si>
  <si>
    <t xml:space="preserve">TC-06</t>
  </si>
  <si>
    <t xml:space="preserve">Accounting</t>
  </si>
  <si>
    <t xml:space="preserve">Customer payment and cheque</t>
  </si>
  <si>
    <t xml:space="preserve">Treasurer + Accountant</t>
  </si>
  <si>
    <t xml:space="preserve">1. Register a bank payment for one invoice
2. Register a post-dated cheque for another (110300)
3. Reconcile the bank statement
4. Open the Aged Receivable report</t>
  </si>
  <si>
    <t xml:space="preserve">Invoices reconciled; cheque sits in notes receivable until collection; aged report matches the customer balance; each bank and cash journal reconciles to its account</t>
  </si>
  <si>
    <t xml:space="preserve">BR-ACC-05, BR-ACC-06, BR-ACC-04</t>
  </si>
  <si>
    <t xml:space="preserve">TC-07</t>
  </si>
  <si>
    <t xml:space="preserve">POS</t>
  </si>
  <si>
    <t xml:space="preserve">Showroom sale through POS</t>
  </si>
  <si>
    <t xml:space="preserve">Showroom Cashier + Supervisor</t>
  </si>
  <si>
    <t xml:space="preserve">1. Open the session with the opening cash count
2. Scan an appliance barcode and select its serial
3. Pay half cash, half card
4. Supervisor refunds a test order
5. Close the session with a cash count</t>
  </si>
  <si>
    <t xml:space="preserve">Serial recorded on the order; stock reduced in CAW; cashier cannot refund; closing entry posts to cash, bank and sales; difference to 999001 / 999002</t>
  </si>
  <si>
    <t xml:space="preserve">BR-POS-01, BR-POS-02, BR-POS-03, BR-POS-04, BR-POS-05</t>
  </si>
  <si>
    <t xml:space="preserve">TC-08</t>
  </si>
  <si>
    <t xml:space="preserve">Purchase</t>
  </si>
  <si>
    <t xml:space="preserve">Purchase order and approval</t>
  </si>
  <si>
    <t xml:space="preserve">Buyer + Procurement Manager</t>
  </si>
  <si>
    <t xml:space="preserve">1. Create a local PO above 250,000 EGP
2. Try to confirm as buyer
3. Procurement Manager approves</t>
  </si>
  <si>
    <t xml:space="preserve">PO goes to 'To Approve'; only the manager can confirm</t>
  </si>
  <si>
    <t xml:space="preserve">BR-PUR-01, BR-PUR-02</t>
  </si>
  <si>
    <t xml:space="preserve">TC-09</t>
  </si>
  <si>
    <t xml:space="preserve">Import shipment with landed costs</t>
  </si>
  <si>
    <t xml:space="preserve">Import Specialist + Accountant</t>
  </si>
  <si>
    <t xml:space="preserve">1. PO in USD to Guangzhou Coolair with container and ETA fields
2. GM confirms
3. Receive through Input &gt; QC &gt; Stock
4. Post bills for freight, duties, clearance and insurance
5. Create and validate the landed cost on the receipt
6. Check the product cost and the shipment cost sheet</t>
  </si>
  <si>
    <t xml:space="preserve">Product cost increases by the allocated landed costs; clearing accounts 1301xx net to zero; cost sheet shows cost per unit</t>
  </si>
  <si>
    <t xml:space="preserve">BR-PUR-03, BR-PUR-05, BR-PUR-06, BR-PUR-09, BR-INV-03</t>
  </si>
  <si>
    <t xml:space="preserve">TC-10</t>
  </si>
  <si>
    <t xml:space="preserve">Vendor bill three-way match and USD payment</t>
  </si>
  <si>
    <t xml:space="preserve">Accountant + Treasurer</t>
  </si>
  <si>
    <t xml:space="preserve">1. Create the vendor bill from the PO
2. Change a quantity to differ from the receipt
3. Correct it and post
4. Pay from the CIB USD account at a different rate
5. Open the purchase analysis by vendor, product and currency</t>
  </si>
  <si>
    <t xml:space="preserve">Bill control flags the mismatch; payment posts the exchange difference to 500011 / 400053; purchase analysis shows both currencies</t>
  </si>
  <si>
    <t xml:space="preserve">BR-PUR-04, BR-ACC-03, BR-PUR-07</t>
  </si>
  <si>
    <t xml:space="preserve">TC-11</t>
  </si>
  <si>
    <t xml:space="preserve">Withholding tax on a local bill</t>
  </si>
  <si>
    <t xml:space="preserve">Accountant</t>
  </si>
  <si>
    <t xml:space="preserve">1. Post a bill for a service vendor with WHT
2. Check the tax lines and the payable amount</t>
  </si>
  <si>
    <t xml:space="preserve">WHT reduces the payable and credits 201020; amounts match the agreed rate</t>
  </si>
  <si>
    <t xml:space="preserve">BR-ACC-02</t>
  </si>
  <si>
    <t xml:space="preserve">TC-12</t>
  </si>
  <si>
    <t xml:space="preserve">Inventory</t>
  </si>
  <si>
    <t xml:space="preserve">Automatic replenishment</t>
  </si>
  <si>
    <t xml:space="preserve">Warehouse Manager</t>
  </si>
  <si>
    <t xml:space="preserve">1. Bring a product below its minimum
2. Run Replenishment
3. Check the created RFQ and the created MO for a manufactured item</t>
  </si>
  <si>
    <t xml:space="preserve">RFQ created for Buy products and MO for Manufacture products, up to the maximum quantity</t>
  </si>
  <si>
    <t xml:space="preserve">BR-INV-02, BR-PUR-08, BR-MRP-04</t>
  </si>
  <si>
    <t xml:space="preserve">TC-13</t>
  </si>
  <si>
    <t xml:space="preserve">Branch resupply transfer</t>
  </si>
  <si>
    <t xml:space="preserve">Warehouse Keeper</t>
  </si>
  <si>
    <t xml:space="preserve">1. Transfer 10 units from Cairo to Alexandria
2. Validate both the outgoing and incoming steps</t>
  </si>
  <si>
    <t xml:space="preserve">Stock moves between warehouses; both warehouse quantities update; no accounting impact</t>
  </si>
  <si>
    <t xml:space="preserve">BR-INV-05, BR-INV-01</t>
  </si>
  <si>
    <t xml:space="preserve">TC-14</t>
  </si>
  <si>
    <t xml:space="preserve">Manufacturing</t>
  </si>
  <si>
    <t xml:space="preserve">Fan manufacturing (multi-level)</t>
  </si>
  <si>
    <t xml:space="preserve">Production Supervisor + QC Inspector</t>
  </si>
  <si>
    <t xml:space="preserve">1. Create an MO for 10 Beitak Stand Fans
2. Produce the control board sub-assembly first
3. Run the work orders with timers
4. Scrap one component
5. QC finishes the last operation
6. Produce with generated serials</t>
  </si>
  <si>
    <t xml:space="preserve">Components consumed from the raw-material store; WIP cleared; finished goods valued at components + labour; 10 serials created; scrap posted to 400036</t>
  </si>
  <si>
    <t xml:space="preserve">BR-MRP-01, BR-MRP-02, BR-MRP-03, BR-MRP-05, BR-MRP-06, BR-MRP-07</t>
  </si>
  <si>
    <t xml:space="preserve">TC-15</t>
  </si>
  <si>
    <t xml:space="preserve">Serial traceability and warranty</t>
  </si>
  <si>
    <t xml:space="preserve">Warehouse Keeper + Sales Rep</t>
  </si>
  <si>
    <t xml:space="preserve">1. Open a delivered serial
2. Check its traceability report
3. Check the warranty end date
4. Return the unit to quality control</t>
  </si>
  <si>
    <t xml:space="preserve">Full movement history shown; warranty date computed from the delivery date; return received into QC</t>
  </si>
  <si>
    <t xml:space="preserve">BR-INV-06, BR-INV-07, BR-INV-11</t>
  </si>
  <si>
    <t xml:space="preserve">TC-16</t>
  </si>
  <si>
    <t xml:space="preserve">Cycle count</t>
  </si>
  <si>
    <t xml:space="preserve">Warehouse Keeper + Warehouse Manager</t>
  </si>
  <si>
    <t xml:space="preserve">1. Keeper counts one location and enters quantities
2. Keeper tries to apply
3. Manager applies</t>
  </si>
  <si>
    <t xml:space="preserve">Only the manager can apply; adjustment entry posted to the inventory accounts</t>
  </si>
  <si>
    <t xml:space="preserve">BR-INV-09, BR-INV-08</t>
  </si>
  <si>
    <t xml:space="preserve">TC-17</t>
  </si>
  <si>
    <t xml:space="preserve">Month-end close and reports</t>
  </si>
  <si>
    <t xml:space="preserve">Finance Manager + Senior Accountant</t>
  </si>
  <si>
    <t xml:space="preserve">1. Reconcile banks and cash
2. Compare stock valuation with GL 1201xx
3. Run trial balance, P&amp;L, balance sheet and VAT report
4. Run the P&amp;L by branch and by business line
5. Set the lock date</t>
  </si>
  <si>
    <t xml:space="preserve">Stock valuation equals the GL; reports balance; analytic reports show both plans; entries before the lock date are blocked</t>
  </si>
  <si>
    <t xml:space="preserve">BR-ACC-07, BR-ACC-09, BR-ACC-11, BR-ACC-12</t>
  </si>
  <si>
    <t xml:space="preserve">TC-18</t>
  </si>
  <si>
    <t xml:space="preserve">Opening balances</t>
  </si>
  <si>
    <t xml:space="preserve">Finance Manager</t>
  </si>
  <si>
    <t xml:space="preserve">1. Open the opening journal entry
2. Check account 190100
3. Compare partner balances with the legacy aging</t>
  </si>
  <si>
    <t xml:space="preserve">Trial balance balanced at 1 Jan 2027; 190100 equals zero; partner balances match the legacy system</t>
  </si>
  <si>
    <t xml:space="preserve">BR-ACC-10, BR-ACC-01, BR-GEN-01</t>
  </si>
  <si>
    <t xml:space="preserve">TC-19</t>
  </si>
  <si>
    <t xml:space="preserve">Payment approval and dashboard</t>
  </si>
  <si>
    <t xml:space="preserve">Treasurer + Finance Manager</t>
  </si>
  <si>
    <t xml:space="preserve">1. Treasurer drafts a payment above 500,000 EGP
2. Finance Manager posts it
3. Open the management dashboard</t>
  </si>
  <si>
    <t xml:space="preserve">Treasurer cannot post; dashboard shows sales, stock value and overdue receivables</t>
  </si>
  <si>
    <t xml:space="preserve">BR-ACC-08, BR-GEN-04</t>
  </si>
  <si>
    <t xml:space="preserve">TC-20</t>
  </si>
  <si>
    <t xml:space="preserve">HR</t>
  </si>
  <si>
    <t xml:space="preserve">HR: employee, leave and attendance</t>
  </si>
  <si>
    <t xml:space="preserve">HR Specialist + Manager + Employee</t>
  </si>
  <si>
    <t xml:space="preserve">1. Create an employee with department and manager
2. Employee requests annual leave
3. Manager approves
4. Check in and out on the attendance kiosk</t>
  </si>
  <si>
    <t xml:space="preserve">Employee visible in the org chart; leave approved by the direct manager only; attendance recorded</t>
  </si>
  <si>
    <t xml:space="preserve">BR-HR-01, BR-HR-02, BR-HR-03</t>
  </si>
  <si>
    <t xml:space="preserve">TC-21</t>
  </si>
  <si>
    <t xml:space="preserve">Cross-functional</t>
  </si>
  <si>
    <t xml:space="preserve">Access rights and audit trail</t>
  </si>
  <si>
    <t xml:space="preserve">System Administrator</t>
  </si>
  <si>
    <t xml:space="preserve">1. Log in as a sales rep and try to open another rep's opportunity
2. Log in as a warehouse keeper and try to open accounting
3. Change a product sales price and open the chatter
4. Print a delivery slip and the driver trip sheet</t>
  </si>
  <si>
    <t xml:space="preserve">Rep sees only own documents; keeper has no accounting menu; price change tracked in the chatter; documents print bilingual with serials and driver</t>
  </si>
  <si>
    <t xml:space="preserve">BR-HR-04, BR-GEN-02, BR-GEN-03, BR-GEN-05, BR-GEN-06</t>
  </si>
  <si>
    <t xml:space="preserve">TC-22</t>
  </si>
  <si>
    <t xml:space="preserve">Salesperson target and commission</t>
  </si>
  <si>
    <t xml:space="preserve">Sales Manager</t>
  </si>
  <si>
    <t xml:space="preserve">1. Set a monthly target for a rep
2. Open the achievement report
3. Open the commission report after collection</t>
  </si>
  <si>
    <t xml:space="preserve">Achievement % calculated against invoiced revenue; commission based on collected invoices only</t>
  </si>
  <si>
    <t xml:space="preserve">BR-CRM-05, BR-SAL-10</t>
  </si>
  <si>
    <t xml:space="preserve">TC-23</t>
  </si>
  <si>
    <t xml:space="preserve">Installation service on an order</t>
  </si>
  <si>
    <t xml:space="preserve">1. Add an AC and an installation service on one order
2. Invoice</t>
  </si>
  <si>
    <t xml:space="preserve">Service invoiced on ordered quantity; revenue posted to 510500</t>
  </si>
  <si>
    <t xml:space="preserve">BR-SAL-07</t>
  </si>
  <si>
    <t xml:space="preserve">TC-24</t>
  </si>
  <si>
    <t xml:space="preserve">Scrap review and production analysis</t>
  </si>
  <si>
    <t xml:space="preserve">Production Manager</t>
  </si>
  <si>
    <t xml:space="preserve">1. Open the weekly scrap report filtered above 10,000 EGP
2. Compare planned and real work-order duration
3. Compare MO cost with the BOM cost</t>
  </si>
  <si>
    <t xml:space="preserve">Scrap list available for review and sign-off; variances visible</t>
  </si>
  <si>
    <t xml:space="preserve">BR-INV-10, BR-MRP-08</t>
  </si>
  <si>
    <t xml:space="preserve">TC-25</t>
  </si>
  <si>
    <t xml:space="preserve">Warehouse delivery steps</t>
  </si>
  <si>
    <t xml:space="preserve">1. Deliver from Cairo (pick, pack, ship)
2. Deliver from Alexandria (pick, ship)</t>
  </si>
  <si>
    <t xml:space="preserve">Each warehouse follows its configured steps</t>
  </si>
  <si>
    <t xml:space="preserve">BR-INV-04</t>
  </si>
  <si>
    <t xml:space="preserve">UAT Results Summary</t>
  </si>
  <si>
    <t xml:space="preserve">Updates automatically from the Status column of the Test Cases sheet.</t>
  </si>
  <si>
    <t xml:space="preserve">Test cases</t>
  </si>
  <si>
    <t xml:space="preserve">Passed</t>
  </si>
  <si>
    <t xml:space="preserve">Failed</t>
  </si>
  <si>
    <t xml:space="preserve">Not tested</t>
  </si>
  <si>
    <t xml:space="preserve">Pass %</t>
  </si>
  <si>
    <t xml:space="preserve">Total</t>
  </si>
  <si>
    <t xml:space="preserve">Go-live readiness</t>
  </si>
  <si>
    <t xml:space="preserve">All Must test cases passed?</t>
  </si>
  <si>
    <t xml:space="preserve">Open defects (Severity 1 or 2)</t>
  </si>
  <si>
    <t xml:space="preserve">Defect Log</t>
  </si>
  <si>
    <t xml:space="preserve">One row per defect found during UAT. Severity per the Acceptance Criteria sheet.</t>
  </si>
  <si>
    <t xml:space="preserve">Defect ID</t>
  </si>
  <si>
    <t xml:space="preserve">Description</t>
  </si>
  <si>
    <t xml:space="preserve">Severity (1-3)</t>
  </si>
  <si>
    <t xml:space="preserve">Status</t>
  </si>
  <si>
    <t xml:space="preserve">Raised by</t>
  </si>
  <si>
    <t xml:space="preserve">Assigned to</t>
  </si>
  <si>
    <t xml:space="preserve">Date raised</t>
  </si>
  <si>
    <t xml:space="preserve">Date fixed</t>
  </si>
  <si>
    <t xml:space="preserve">Retest result</t>
  </si>
  <si>
    <t xml:space="preserve">DEF-001</t>
  </si>
  <si>
    <t xml:space="preserve">(example - delete before use)</t>
  </si>
  <si>
    <t xml:space="preserve">Closed</t>
  </si>
  <si>
    <t xml:space="preserve">UAT Sign-off</t>
  </si>
  <si>
    <t xml:space="preserve">Signed at milestone M5 on 17 Dec 2026. Signing confirms the tested scope works as designed.</t>
  </si>
  <si>
    <t xml:space="preserve">Name</t>
  </si>
  <si>
    <t xml:space="preserve">Role</t>
  </si>
  <si>
    <t xml:space="preserve">Area tested</t>
  </si>
  <si>
    <t xml:space="preserve">Signature</t>
  </si>
  <si>
    <t xml:space="preserve">Hany Mostafa</t>
  </si>
  <si>
    <t xml:space="preserve">Project Sponsor</t>
  </si>
  <si>
    <t xml:space="preserve">Overall acceptance</t>
  </si>
  <si>
    <t xml:space="preserve">Rania Fathy</t>
  </si>
  <si>
    <t xml:space="preserve">Key User - Accounting</t>
  </si>
  <si>
    <t xml:space="preserve">Accounting, opening balances</t>
  </si>
  <si>
    <t xml:space="preserve">Karim Adel</t>
  </si>
  <si>
    <t xml:space="preserve">Key User - Sales &amp; CRM</t>
  </si>
  <si>
    <t xml:space="preserve">Sales, CRM</t>
  </si>
  <si>
    <t xml:space="preserve">Salma Ashraf</t>
  </si>
  <si>
    <t xml:space="preserve">Key User - Showroom</t>
  </si>
  <si>
    <t xml:space="preserve">Point of Sale</t>
  </si>
  <si>
    <t xml:space="preserve">Sherif Nabil</t>
  </si>
  <si>
    <t xml:space="preserve">Key User - Purchase</t>
  </si>
  <si>
    <t xml:space="preserve">Purchase, import, landed costs</t>
  </si>
  <si>
    <t xml:space="preserve">Tamer Salah</t>
  </si>
  <si>
    <t xml:space="preserve">Key User - Inventory</t>
  </si>
  <si>
    <t xml:space="preserve">Warehouses, serials, counts</t>
  </si>
  <si>
    <t xml:space="preserve">Mohamed Zaki</t>
  </si>
  <si>
    <t xml:space="preserve">Key User - Manufacturing</t>
  </si>
  <si>
    <t xml:space="preserve">BOMs, work orders, costing</t>
  </si>
  <si>
    <t xml:space="preserve">Dina Samir</t>
  </si>
  <si>
    <t xml:space="preserve">Key User - HR</t>
  </si>
  <si>
    <t xml:space="preserve">Employees, time off</t>
  </si>
  <si>
    <t xml:space="preserve">Noha Gamal</t>
  </si>
  <si>
    <t xml:space="preserve">Sales, CRM &amp; POS Consultant - Khomasi ERP</t>
  </si>
  <si>
    <t xml:space="preserve">UAT coordination</t>
  </si>
  <si>
    <t xml:space="preserve">Ahmed Fahmy</t>
  </si>
  <si>
    <t xml:space="preserve">Project Manager - Khomasi ERP</t>
  </si>
  <si>
    <t xml:space="preserve">Project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</si>
</sst>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4E5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8EE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0"/>
      <rgbColor rgb="FF660066"/>
      <rgbColor rgb="FFFF8080"/>
      <rgbColor rgb="FF0066CC"/>
      <rgbColor rgb="FFD0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UATD_User_Acceptance_Test_Document.xlsx" TargetMode="External"/><Relationship Id="rId2" Type="http://schemas.openxmlformats.org/officeDocument/2006/relationships/hyperlink" Target="UATD_User_Acceptance_Test_Document.xlsx" TargetMode="External"/><Relationship Id="rId3" Type="http://schemas.openxmlformats.org/officeDocument/2006/relationships/hyperlink" Target="UATD_User_Acceptance_Test_Document.xlsx" TargetMode="External"/><Relationship Id="rId4" Type="http://schemas.openxmlformats.org/officeDocument/2006/relationships/hyperlink" Target="UATD_User_Acceptance_Test_Document.xlsx" TargetMode="External"/><Relationship Id="rId5" Type="http://schemas.openxmlformats.org/officeDocument/2006/relationships/hyperlink" Target="UATD_User_Acceptance_Test_Document.xlsx" TargetMode="External"/><Relationship Id="rId6" Type="http://schemas.openxmlformats.org/officeDocument/2006/relationships/hyperlink" Target="UATD_User_Acceptance_Test_Document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  <col collapsed="false" customWidth="true" hidden="false" outlineLevel="0" max="3" min="3" style="0" width="4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5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  <c r="C6" s="5" t="s">
        <v>10</v>
      </c>
    </row>
    <row r="7" customFormat="false" ht="15" hidden="false" customHeight="false" outlineLevel="0" collapsed="false">
      <c r="A7" s="4" t="s">
        <v>11</v>
      </c>
      <c r="B7" s="5" t="s">
        <v>12</v>
      </c>
      <c r="C7" s="5" t="s">
        <v>13</v>
      </c>
    </row>
    <row r="8" customFormat="false" ht="15" hidden="false" customHeight="false" outlineLevel="0" collapsed="false">
      <c r="A8" s="4" t="s">
        <v>14</v>
      </c>
      <c r="B8" s="5" t="s">
        <v>15</v>
      </c>
      <c r="C8" s="5" t="s">
        <v>16</v>
      </c>
    </row>
    <row r="9" customFormat="false" ht="15" hidden="false" customHeight="false" outlineLevel="0" collapsed="false">
      <c r="A9" s="4" t="s">
        <v>17</v>
      </c>
      <c r="B9" s="5" t="s">
        <v>18</v>
      </c>
      <c r="C9" s="5" t="s">
        <v>19</v>
      </c>
    </row>
    <row r="10" customFormat="false" ht="15" hidden="false" customHeight="false" outlineLevel="0" collapsed="false">
      <c r="A10" s="4" t="s">
        <v>20</v>
      </c>
      <c r="B10" s="5" t="s">
        <v>21</v>
      </c>
      <c r="C10" s="5" t="s">
        <v>22</v>
      </c>
    </row>
    <row r="12" customFormat="false" ht="15" hidden="false" customHeight="false" outlineLevel="0" collapsed="false">
      <c r="A12" s="6" t="s">
        <v>23</v>
      </c>
    </row>
    <row r="13" customFormat="false" ht="23.85" hidden="false" customHeight="false" outlineLevel="0" collapsed="false">
      <c r="A13" s="5" t="s">
        <v>24</v>
      </c>
      <c r="B13" s="7" t="s">
        <v>25</v>
      </c>
    </row>
    <row r="14" customFormat="false" ht="23.85" hidden="false" customHeight="false" outlineLevel="0" collapsed="false">
      <c r="A14" s="5" t="s">
        <v>26</v>
      </c>
      <c r="B14" s="7" t="s">
        <v>27</v>
      </c>
    </row>
    <row r="15" customFormat="false" ht="15" hidden="false" customHeight="false" outlineLevel="0" collapsed="false">
      <c r="A15" s="5" t="s">
        <v>28</v>
      </c>
      <c r="B15" s="7" t="s">
        <v>29</v>
      </c>
    </row>
    <row r="16" customFormat="false" ht="15" hidden="false" customHeight="false" outlineLevel="0" collapsed="false">
      <c r="A16" s="5" t="s">
        <v>30</v>
      </c>
      <c r="B16" s="7" t="s">
        <v>31</v>
      </c>
    </row>
    <row r="17" customFormat="false" ht="15" hidden="false" customHeight="false" outlineLevel="0" collapsed="false">
      <c r="A17" s="5" t="s">
        <v>32</v>
      </c>
      <c r="B17" s="7" t="s">
        <v>33</v>
      </c>
    </row>
    <row r="18" customFormat="false" ht="15" hidden="false" customHeight="false" outlineLevel="0" collapsed="false">
      <c r="A18" s="5" t="s">
        <v>34</v>
      </c>
      <c r="B18" s="7" t="s">
        <v>35</v>
      </c>
    </row>
    <row r="19" customFormat="false" ht="23.85" hidden="false" customHeight="false" outlineLevel="0" collapsed="false">
      <c r="A19" s="5" t="s">
        <v>36</v>
      </c>
      <c r="B19" s="7" t="s">
        <v>37</v>
      </c>
    </row>
    <row r="20" customFormat="false" ht="23.85" hidden="false" customHeight="false" outlineLevel="0" collapsed="false">
      <c r="A20" s="5" t="s">
        <v>38</v>
      </c>
      <c r="B20" s="7" t="s">
        <v>39</v>
      </c>
    </row>
    <row r="21" customFormat="false" ht="15" hidden="false" customHeight="false" outlineLevel="0" collapsed="false">
      <c r="A21" s="5" t="s">
        <v>40</v>
      </c>
      <c r="B21" s="7" t="s">
        <v>41</v>
      </c>
    </row>
  </sheetData>
  <hyperlinks>
    <hyperlink ref="A5" r:id="rId1" location="'Test%20Plan'!A1" display="Test Plan"/>
    <hyperlink ref="A6" r:id="rId2" location="'Acceptance%20Criteria'!A1" display="Acceptance Criteria"/>
    <hyperlink ref="A7" r:id="rId3" location="'Test%20Cases'!A1" display="Test Cases"/>
    <hyperlink ref="A8" r:id="rId4" location="'Results%20Summary'!A1" display="Results Summary"/>
    <hyperlink ref="A9" r:id="rId5" location="'Defects'!A1" display="Defects"/>
    <hyperlink ref="A10" r:id="rId6" location="'Sign-off'!A1" display="Sign-of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5" min="5" style="0" width="35"/>
  </cols>
  <sheetData>
    <row r="1" customFormat="false" ht="16.15" hidden="false" customHeight="false" outlineLevel="0" collapsed="false">
      <c r="A1" s="8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9" t="s">
        <v>44</v>
      </c>
      <c r="B4" s="9" t="s">
        <v>45</v>
      </c>
      <c r="C4" s="9" t="s">
        <v>46</v>
      </c>
      <c r="D4" s="9" t="s">
        <v>47</v>
      </c>
      <c r="E4" s="9" t="s">
        <v>48</v>
      </c>
    </row>
    <row r="5" customFormat="false" ht="15" hidden="false" customHeight="false" outlineLevel="0" collapsed="false">
      <c r="A5" s="10" t="s">
        <v>49</v>
      </c>
      <c r="B5" s="10" t="s">
        <v>50</v>
      </c>
      <c r="C5" s="10" t="s">
        <v>51</v>
      </c>
      <c r="D5" s="10" t="s">
        <v>52</v>
      </c>
      <c r="E5" s="10" t="s">
        <v>53</v>
      </c>
    </row>
    <row r="6" customFormat="false" ht="15" hidden="false" customHeight="false" outlineLevel="0" collapsed="false">
      <c r="A6" s="10" t="s">
        <v>54</v>
      </c>
      <c r="B6" s="10" t="s">
        <v>55</v>
      </c>
      <c r="C6" s="10" t="s">
        <v>56</v>
      </c>
      <c r="D6" s="10" t="s">
        <v>57</v>
      </c>
      <c r="E6" s="10" t="s">
        <v>58</v>
      </c>
    </row>
    <row r="7" customFormat="false" ht="15" hidden="false" customHeight="false" outlineLevel="0" collapsed="false">
      <c r="A7" s="10" t="s">
        <v>59</v>
      </c>
      <c r="B7" s="10" t="s">
        <v>60</v>
      </c>
      <c r="C7" s="10" t="s">
        <v>61</v>
      </c>
      <c r="D7" s="10" t="s">
        <v>62</v>
      </c>
      <c r="E7" s="10" t="s">
        <v>63</v>
      </c>
    </row>
    <row r="8" customFormat="false" ht="15" hidden="false" customHeight="false" outlineLevel="0" collapsed="false">
      <c r="A8" s="10" t="s">
        <v>20</v>
      </c>
      <c r="B8" s="10" t="s">
        <v>64</v>
      </c>
      <c r="C8" s="10" t="s">
        <v>65</v>
      </c>
      <c r="D8" s="10" t="s">
        <v>65</v>
      </c>
      <c r="E8" s="1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6"/>
    <col collapsed="false" customWidth="true" hidden="false" outlineLevel="0" max="3" min="3" style="0" width="42"/>
  </cols>
  <sheetData>
    <row r="1" customFormat="false" ht="16.15" hidden="false" customHeight="false" outlineLevel="0" collapsed="false">
      <c r="A1" s="8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9" t="s">
        <v>69</v>
      </c>
      <c r="B4" s="9" t="s">
        <v>70</v>
      </c>
      <c r="C4" s="9" t="s">
        <v>71</v>
      </c>
    </row>
    <row r="5" customFormat="false" ht="15" hidden="false" customHeight="false" outlineLevel="0" collapsed="false">
      <c r="A5" s="10" t="s">
        <v>72</v>
      </c>
      <c r="B5" s="10" t="s">
        <v>73</v>
      </c>
      <c r="C5" s="10" t="s">
        <v>74</v>
      </c>
    </row>
    <row r="6" customFormat="false" ht="15" hidden="false" customHeight="false" outlineLevel="0" collapsed="false">
      <c r="A6" s="10" t="s">
        <v>75</v>
      </c>
      <c r="B6" s="10" t="s">
        <v>76</v>
      </c>
      <c r="C6" s="10" t="s">
        <v>77</v>
      </c>
    </row>
    <row r="7" customFormat="false" ht="15" hidden="false" customHeight="false" outlineLevel="0" collapsed="false">
      <c r="A7" s="10" t="s">
        <v>78</v>
      </c>
      <c r="B7" s="10" t="s">
        <v>79</v>
      </c>
      <c r="C7" s="10" t="s">
        <v>80</v>
      </c>
    </row>
    <row r="8" customFormat="false" ht="15" hidden="false" customHeight="false" outlineLevel="0" collapsed="false">
      <c r="A8" s="10" t="s">
        <v>81</v>
      </c>
      <c r="B8" s="10" t="s">
        <v>82</v>
      </c>
      <c r="C8" s="10" t="s">
        <v>83</v>
      </c>
    </row>
    <row r="9" customFormat="false" ht="15" hidden="false" customHeight="false" outlineLevel="0" collapsed="false">
      <c r="A9" s="10" t="s">
        <v>84</v>
      </c>
      <c r="B9" s="10" t="s">
        <v>85</v>
      </c>
      <c r="C9" s="10" t="s">
        <v>86</v>
      </c>
    </row>
    <row r="10" customFormat="false" ht="15" hidden="false" customHeight="false" outlineLevel="0" collapsed="false">
      <c r="A10" s="10" t="s">
        <v>87</v>
      </c>
      <c r="B10" s="10" t="s">
        <v>88</v>
      </c>
      <c r="C10" s="1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62"/>
    <col collapsed="false" customWidth="true" hidden="false" outlineLevel="0" max="6" min="6" style="0" width="58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9"/>
  </cols>
  <sheetData>
    <row r="1" customFormat="false" ht="16.15" hidden="false" customHeight="false" outlineLevel="0" collapsed="false">
      <c r="A1" s="8" t="s">
        <v>90</v>
      </c>
    </row>
    <row r="2" customFormat="false" ht="15" hidden="false" customHeight="false" outlineLevel="0" collapsed="false">
      <c r="A2" s="2" t="s">
        <v>91</v>
      </c>
    </row>
    <row r="4" customFormat="false" ht="23.85" hidden="false" customHeight="false" outlineLevel="0" collapsed="false">
      <c r="A4" s="9" t="s">
        <v>92</v>
      </c>
      <c r="B4" s="9" t="s">
        <v>93</v>
      </c>
      <c r="C4" s="9" t="s">
        <v>94</v>
      </c>
      <c r="D4" s="9" t="s">
        <v>95</v>
      </c>
      <c r="E4" s="9" t="s">
        <v>96</v>
      </c>
      <c r="F4" s="9" t="s">
        <v>97</v>
      </c>
      <c r="G4" s="9" t="s">
        <v>98</v>
      </c>
      <c r="H4" s="9" t="s">
        <v>99</v>
      </c>
      <c r="I4" s="9" t="s">
        <v>100</v>
      </c>
      <c r="J4" s="9" t="s">
        <v>101</v>
      </c>
      <c r="K4" s="9" t="s">
        <v>102</v>
      </c>
      <c r="L4" s="9" t="s">
        <v>103</v>
      </c>
    </row>
    <row r="5" customFormat="false" ht="57.45" hidden="false" customHeight="false" outlineLevel="0" collapsed="false">
      <c r="A5" s="10" t="s">
        <v>104</v>
      </c>
      <c r="B5" s="10" t="s">
        <v>105</v>
      </c>
      <c r="C5" s="10" t="s">
        <v>106</v>
      </c>
      <c r="D5" s="10" t="s">
        <v>107</v>
      </c>
      <c r="E5" s="11" t="s">
        <v>108</v>
      </c>
      <c r="F5" s="11" t="s">
        <v>109</v>
      </c>
      <c r="G5" s="10" t="s">
        <v>110</v>
      </c>
      <c r="H5" s="10" t="s">
        <v>111</v>
      </c>
      <c r="I5" s="10"/>
      <c r="J5" s="10"/>
      <c r="K5" s="10"/>
      <c r="L5" s="10"/>
    </row>
    <row r="6" customFormat="false" ht="35.05" hidden="false" customHeight="false" outlineLevel="0" collapsed="false">
      <c r="A6" s="10" t="s">
        <v>112</v>
      </c>
      <c r="B6" s="10" t="s">
        <v>113</v>
      </c>
      <c r="C6" s="10" t="s">
        <v>114</v>
      </c>
      <c r="D6" s="10" t="s">
        <v>107</v>
      </c>
      <c r="E6" s="11" t="s">
        <v>115</v>
      </c>
      <c r="F6" s="11" t="s">
        <v>116</v>
      </c>
      <c r="G6" s="10" t="s">
        <v>117</v>
      </c>
      <c r="H6" s="10" t="s">
        <v>111</v>
      </c>
      <c r="I6" s="10"/>
      <c r="J6" s="10"/>
      <c r="K6" s="10"/>
      <c r="L6" s="10"/>
    </row>
    <row r="7" customFormat="false" ht="35.05" hidden="false" customHeight="false" outlineLevel="0" collapsed="false">
      <c r="A7" s="10" t="s">
        <v>118</v>
      </c>
      <c r="B7" s="10" t="s">
        <v>113</v>
      </c>
      <c r="C7" s="10" t="s">
        <v>119</v>
      </c>
      <c r="D7" s="10" t="s">
        <v>120</v>
      </c>
      <c r="E7" s="11" t="s">
        <v>121</v>
      </c>
      <c r="F7" s="11" t="s">
        <v>122</v>
      </c>
      <c r="G7" s="10" t="s">
        <v>123</v>
      </c>
      <c r="H7" s="10" t="s">
        <v>111</v>
      </c>
      <c r="I7" s="10"/>
      <c r="J7" s="10"/>
      <c r="K7" s="10"/>
      <c r="L7" s="10"/>
    </row>
    <row r="8" customFormat="false" ht="35.05" hidden="false" customHeight="false" outlineLevel="0" collapsed="false">
      <c r="A8" s="10" t="s">
        <v>124</v>
      </c>
      <c r="B8" s="10" t="s">
        <v>113</v>
      </c>
      <c r="C8" s="10" t="s">
        <v>125</v>
      </c>
      <c r="D8" s="10" t="s">
        <v>126</v>
      </c>
      <c r="E8" s="11" t="s">
        <v>127</v>
      </c>
      <c r="F8" s="11" t="s">
        <v>128</v>
      </c>
      <c r="G8" s="10" t="s">
        <v>129</v>
      </c>
      <c r="H8" s="10" t="s">
        <v>130</v>
      </c>
      <c r="I8" s="10"/>
      <c r="J8" s="10"/>
      <c r="K8" s="10"/>
      <c r="L8" s="10"/>
    </row>
    <row r="9" customFormat="false" ht="46.25" hidden="false" customHeight="false" outlineLevel="0" collapsed="false">
      <c r="A9" s="10" t="s">
        <v>131</v>
      </c>
      <c r="B9" s="10" t="s">
        <v>113</v>
      </c>
      <c r="C9" s="10" t="s">
        <v>132</v>
      </c>
      <c r="D9" s="10" t="s">
        <v>133</v>
      </c>
      <c r="E9" s="11" t="s">
        <v>134</v>
      </c>
      <c r="F9" s="11" t="s">
        <v>135</v>
      </c>
      <c r="G9" s="10" t="s">
        <v>136</v>
      </c>
      <c r="H9" s="10" t="s">
        <v>111</v>
      </c>
      <c r="I9" s="10"/>
      <c r="J9" s="10"/>
      <c r="K9" s="10"/>
      <c r="L9" s="10"/>
    </row>
    <row r="10" customFormat="false" ht="46.25" hidden="false" customHeight="false" outlineLevel="0" collapsed="false">
      <c r="A10" s="10" t="s">
        <v>137</v>
      </c>
      <c r="B10" s="10" t="s">
        <v>138</v>
      </c>
      <c r="C10" s="10" t="s">
        <v>139</v>
      </c>
      <c r="D10" s="10" t="s">
        <v>140</v>
      </c>
      <c r="E10" s="11" t="s">
        <v>141</v>
      </c>
      <c r="F10" s="11" t="s">
        <v>142</v>
      </c>
      <c r="G10" s="10" t="s">
        <v>143</v>
      </c>
      <c r="H10" s="10" t="s">
        <v>111</v>
      </c>
      <c r="I10" s="10"/>
      <c r="J10" s="10"/>
      <c r="K10" s="10"/>
      <c r="L10" s="10"/>
    </row>
    <row r="11" customFormat="false" ht="57.45" hidden="false" customHeight="false" outlineLevel="0" collapsed="false">
      <c r="A11" s="10" t="s">
        <v>144</v>
      </c>
      <c r="B11" s="10" t="s">
        <v>145</v>
      </c>
      <c r="C11" s="10" t="s">
        <v>146</v>
      </c>
      <c r="D11" s="10" t="s">
        <v>147</v>
      </c>
      <c r="E11" s="11" t="s">
        <v>148</v>
      </c>
      <c r="F11" s="11" t="s">
        <v>149</v>
      </c>
      <c r="G11" s="10" t="s">
        <v>150</v>
      </c>
      <c r="H11" s="10" t="s">
        <v>111</v>
      </c>
      <c r="I11" s="10"/>
      <c r="J11" s="10"/>
      <c r="K11" s="10"/>
      <c r="L11" s="10"/>
    </row>
    <row r="12" customFormat="false" ht="35.05" hidden="false" customHeight="false" outlineLevel="0" collapsed="false">
      <c r="A12" s="10" t="s">
        <v>151</v>
      </c>
      <c r="B12" s="10" t="s">
        <v>152</v>
      </c>
      <c r="C12" s="10" t="s">
        <v>153</v>
      </c>
      <c r="D12" s="10" t="s">
        <v>154</v>
      </c>
      <c r="E12" s="11" t="s">
        <v>155</v>
      </c>
      <c r="F12" s="10" t="s">
        <v>156</v>
      </c>
      <c r="G12" s="10" t="s">
        <v>157</v>
      </c>
      <c r="H12" s="10" t="s">
        <v>111</v>
      </c>
      <c r="I12" s="10"/>
      <c r="J12" s="10"/>
      <c r="K12" s="10"/>
      <c r="L12" s="10"/>
    </row>
    <row r="13" customFormat="false" ht="68.65" hidden="false" customHeight="false" outlineLevel="0" collapsed="false">
      <c r="A13" s="10" t="s">
        <v>158</v>
      </c>
      <c r="B13" s="10" t="s">
        <v>152</v>
      </c>
      <c r="C13" s="10" t="s">
        <v>159</v>
      </c>
      <c r="D13" s="10" t="s">
        <v>160</v>
      </c>
      <c r="E13" s="11" t="s">
        <v>161</v>
      </c>
      <c r="F13" s="11" t="s">
        <v>162</v>
      </c>
      <c r="G13" s="10" t="s">
        <v>163</v>
      </c>
      <c r="H13" s="10" t="s">
        <v>111</v>
      </c>
      <c r="I13" s="10"/>
      <c r="J13" s="10"/>
      <c r="K13" s="10"/>
      <c r="L13" s="10"/>
    </row>
    <row r="14" customFormat="false" ht="57.45" hidden="false" customHeight="false" outlineLevel="0" collapsed="false">
      <c r="A14" s="10" t="s">
        <v>164</v>
      </c>
      <c r="B14" s="10" t="s">
        <v>152</v>
      </c>
      <c r="C14" s="10" t="s">
        <v>165</v>
      </c>
      <c r="D14" s="10" t="s">
        <v>166</v>
      </c>
      <c r="E14" s="11" t="s">
        <v>167</v>
      </c>
      <c r="F14" s="11" t="s">
        <v>168</v>
      </c>
      <c r="G14" s="10" t="s">
        <v>169</v>
      </c>
      <c r="H14" s="10" t="s">
        <v>111</v>
      </c>
      <c r="I14" s="10"/>
      <c r="J14" s="10"/>
      <c r="K14" s="10"/>
      <c r="L14" s="10"/>
    </row>
    <row r="15" customFormat="false" ht="23.85" hidden="false" customHeight="false" outlineLevel="0" collapsed="false">
      <c r="A15" s="10" t="s">
        <v>170</v>
      </c>
      <c r="B15" s="10" t="s">
        <v>138</v>
      </c>
      <c r="C15" s="10" t="s">
        <v>171</v>
      </c>
      <c r="D15" s="10" t="s">
        <v>172</v>
      </c>
      <c r="E15" s="11" t="s">
        <v>173</v>
      </c>
      <c r="F15" s="11" t="s">
        <v>174</v>
      </c>
      <c r="G15" s="10" t="s">
        <v>175</v>
      </c>
      <c r="H15" s="10" t="s">
        <v>111</v>
      </c>
      <c r="I15" s="10"/>
      <c r="J15" s="10"/>
      <c r="K15" s="10"/>
      <c r="L15" s="10"/>
    </row>
    <row r="16" customFormat="false" ht="35.05" hidden="false" customHeight="false" outlineLevel="0" collapsed="false">
      <c r="A16" s="10" t="s">
        <v>176</v>
      </c>
      <c r="B16" s="10" t="s">
        <v>177</v>
      </c>
      <c r="C16" s="10" t="s">
        <v>178</v>
      </c>
      <c r="D16" s="10" t="s">
        <v>179</v>
      </c>
      <c r="E16" s="11" t="s">
        <v>180</v>
      </c>
      <c r="F16" s="11" t="s">
        <v>181</v>
      </c>
      <c r="G16" s="10" t="s">
        <v>182</v>
      </c>
      <c r="H16" s="10" t="s">
        <v>111</v>
      </c>
      <c r="I16" s="10"/>
      <c r="J16" s="10"/>
      <c r="K16" s="10"/>
      <c r="L16" s="10"/>
    </row>
    <row r="17" customFormat="false" ht="23.85" hidden="false" customHeight="false" outlineLevel="0" collapsed="false">
      <c r="A17" s="10" t="s">
        <v>183</v>
      </c>
      <c r="B17" s="10" t="s">
        <v>177</v>
      </c>
      <c r="C17" s="10" t="s">
        <v>184</v>
      </c>
      <c r="D17" s="10" t="s">
        <v>185</v>
      </c>
      <c r="E17" s="11" t="s">
        <v>186</v>
      </c>
      <c r="F17" s="11" t="s">
        <v>187</v>
      </c>
      <c r="G17" s="10" t="s">
        <v>188</v>
      </c>
      <c r="H17" s="10" t="s">
        <v>111</v>
      </c>
      <c r="I17" s="10"/>
      <c r="J17" s="10"/>
      <c r="K17" s="10"/>
      <c r="L17" s="10"/>
    </row>
    <row r="18" customFormat="false" ht="68.65" hidden="false" customHeight="false" outlineLevel="0" collapsed="false">
      <c r="A18" s="10" t="s">
        <v>189</v>
      </c>
      <c r="B18" s="10" t="s">
        <v>190</v>
      </c>
      <c r="C18" s="10" t="s">
        <v>191</v>
      </c>
      <c r="D18" s="10" t="s">
        <v>192</v>
      </c>
      <c r="E18" s="11" t="s">
        <v>193</v>
      </c>
      <c r="F18" s="11" t="s">
        <v>194</v>
      </c>
      <c r="G18" s="11" t="s">
        <v>195</v>
      </c>
      <c r="H18" s="10" t="s">
        <v>111</v>
      </c>
      <c r="I18" s="10"/>
      <c r="J18" s="10"/>
      <c r="K18" s="10"/>
      <c r="L18" s="10"/>
    </row>
    <row r="19" customFormat="false" ht="46.25" hidden="false" customHeight="false" outlineLevel="0" collapsed="false">
      <c r="A19" s="10" t="s">
        <v>196</v>
      </c>
      <c r="B19" s="10" t="s">
        <v>177</v>
      </c>
      <c r="C19" s="10" t="s">
        <v>197</v>
      </c>
      <c r="D19" s="10" t="s">
        <v>198</v>
      </c>
      <c r="E19" s="11" t="s">
        <v>199</v>
      </c>
      <c r="F19" s="11" t="s">
        <v>200</v>
      </c>
      <c r="G19" s="10" t="s">
        <v>201</v>
      </c>
      <c r="H19" s="10" t="s">
        <v>111</v>
      </c>
      <c r="I19" s="10"/>
      <c r="J19" s="10"/>
      <c r="K19" s="10"/>
      <c r="L19" s="10"/>
    </row>
    <row r="20" customFormat="false" ht="35.05" hidden="false" customHeight="false" outlineLevel="0" collapsed="false">
      <c r="A20" s="10" t="s">
        <v>202</v>
      </c>
      <c r="B20" s="10" t="s">
        <v>177</v>
      </c>
      <c r="C20" s="10" t="s">
        <v>203</v>
      </c>
      <c r="D20" s="10" t="s">
        <v>204</v>
      </c>
      <c r="E20" s="11" t="s">
        <v>205</v>
      </c>
      <c r="F20" s="11" t="s">
        <v>206</v>
      </c>
      <c r="G20" s="10" t="s">
        <v>207</v>
      </c>
      <c r="H20" s="10" t="s">
        <v>111</v>
      </c>
      <c r="I20" s="10"/>
      <c r="J20" s="10"/>
      <c r="K20" s="10"/>
      <c r="L20" s="10"/>
    </row>
    <row r="21" customFormat="false" ht="57.45" hidden="false" customHeight="false" outlineLevel="0" collapsed="false">
      <c r="A21" s="10" t="s">
        <v>208</v>
      </c>
      <c r="B21" s="10" t="s">
        <v>138</v>
      </c>
      <c r="C21" s="10" t="s">
        <v>209</v>
      </c>
      <c r="D21" s="10" t="s">
        <v>210</v>
      </c>
      <c r="E21" s="11" t="s">
        <v>211</v>
      </c>
      <c r="F21" s="11" t="s">
        <v>212</v>
      </c>
      <c r="G21" s="10" t="s">
        <v>213</v>
      </c>
      <c r="H21" s="10" t="s">
        <v>111</v>
      </c>
      <c r="I21" s="10"/>
      <c r="J21" s="10"/>
      <c r="K21" s="10"/>
      <c r="L21" s="10"/>
    </row>
    <row r="22" customFormat="false" ht="35.05" hidden="false" customHeight="false" outlineLevel="0" collapsed="false">
      <c r="A22" s="10" t="s">
        <v>214</v>
      </c>
      <c r="B22" s="10" t="s">
        <v>138</v>
      </c>
      <c r="C22" s="10" t="s">
        <v>215</v>
      </c>
      <c r="D22" s="10" t="s">
        <v>216</v>
      </c>
      <c r="E22" s="11" t="s">
        <v>217</v>
      </c>
      <c r="F22" s="11" t="s">
        <v>218</v>
      </c>
      <c r="G22" s="10" t="s">
        <v>219</v>
      </c>
      <c r="H22" s="10" t="s">
        <v>111</v>
      </c>
      <c r="I22" s="10"/>
      <c r="J22" s="10"/>
      <c r="K22" s="10"/>
      <c r="L22" s="10"/>
    </row>
    <row r="23" customFormat="false" ht="35.05" hidden="false" customHeight="false" outlineLevel="0" collapsed="false">
      <c r="A23" s="10" t="s">
        <v>220</v>
      </c>
      <c r="B23" s="10" t="s">
        <v>138</v>
      </c>
      <c r="C23" s="10" t="s">
        <v>221</v>
      </c>
      <c r="D23" s="10" t="s">
        <v>222</v>
      </c>
      <c r="E23" s="11" t="s">
        <v>223</v>
      </c>
      <c r="F23" s="11" t="s">
        <v>224</v>
      </c>
      <c r="G23" s="10" t="s">
        <v>225</v>
      </c>
      <c r="H23" s="10" t="s">
        <v>130</v>
      </c>
      <c r="I23" s="10"/>
      <c r="J23" s="10"/>
      <c r="K23" s="10"/>
      <c r="L23" s="10"/>
    </row>
    <row r="24" customFormat="false" ht="46.25" hidden="false" customHeight="false" outlineLevel="0" collapsed="false">
      <c r="A24" s="10" t="s">
        <v>226</v>
      </c>
      <c r="B24" s="10" t="s">
        <v>227</v>
      </c>
      <c r="C24" s="10" t="s">
        <v>228</v>
      </c>
      <c r="D24" s="10" t="s">
        <v>229</v>
      </c>
      <c r="E24" s="11" t="s">
        <v>230</v>
      </c>
      <c r="F24" s="11" t="s">
        <v>231</v>
      </c>
      <c r="G24" s="10" t="s">
        <v>232</v>
      </c>
      <c r="H24" s="10" t="s">
        <v>111</v>
      </c>
      <c r="I24" s="10"/>
      <c r="J24" s="10"/>
      <c r="K24" s="10"/>
      <c r="L24" s="10"/>
    </row>
    <row r="25" customFormat="false" ht="46.25" hidden="false" customHeight="false" outlineLevel="0" collapsed="false">
      <c r="A25" s="10" t="s">
        <v>233</v>
      </c>
      <c r="B25" s="10" t="s">
        <v>234</v>
      </c>
      <c r="C25" s="10" t="s">
        <v>235</v>
      </c>
      <c r="D25" s="10" t="s">
        <v>236</v>
      </c>
      <c r="E25" s="11" t="s">
        <v>237</v>
      </c>
      <c r="F25" s="11" t="s">
        <v>238</v>
      </c>
      <c r="G25" s="10" t="s">
        <v>239</v>
      </c>
      <c r="H25" s="10" t="s">
        <v>111</v>
      </c>
      <c r="I25" s="10"/>
      <c r="J25" s="10"/>
      <c r="K25" s="10"/>
      <c r="L25" s="10"/>
    </row>
    <row r="26" customFormat="false" ht="35.05" hidden="false" customHeight="false" outlineLevel="0" collapsed="false">
      <c r="A26" s="10" t="s">
        <v>240</v>
      </c>
      <c r="B26" s="10" t="s">
        <v>105</v>
      </c>
      <c r="C26" s="10" t="s">
        <v>241</v>
      </c>
      <c r="D26" s="10" t="s">
        <v>242</v>
      </c>
      <c r="E26" s="11" t="s">
        <v>243</v>
      </c>
      <c r="F26" s="11" t="s">
        <v>244</v>
      </c>
      <c r="G26" s="10" t="s">
        <v>245</v>
      </c>
      <c r="H26" s="10" t="s">
        <v>130</v>
      </c>
      <c r="I26" s="10"/>
      <c r="J26" s="10"/>
      <c r="K26" s="10"/>
      <c r="L26" s="10"/>
    </row>
    <row r="27" customFormat="false" ht="23.85" hidden="false" customHeight="false" outlineLevel="0" collapsed="false">
      <c r="A27" s="10" t="s">
        <v>246</v>
      </c>
      <c r="B27" s="10" t="s">
        <v>113</v>
      </c>
      <c r="C27" s="10" t="s">
        <v>247</v>
      </c>
      <c r="D27" s="10" t="s">
        <v>107</v>
      </c>
      <c r="E27" s="11" t="s">
        <v>248</v>
      </c>
      <c r="F27" s="11" t="s">
        <v>249</v>
      </c>
      <c r="G27" s="10" t="s">
        <v>250</v>
      </c>
      <c r="H27" s="10" t="s">
        <v>130</v>
      </c>
      <c r="I27" s="10"/>
      <c r="J27" s="10"/>
      <c r="K27" s="10"/>
      <c r="L27" s="10"/>
    </row>
    <row r="28" customFormat="false" ht="35.05" hidden="false" customHeight="false" outlineLevel="0" collapsed="false">
      <c r="A28" s="10" t="s">
        <v>251</v>
      </c>
      <c r="B28" s="10" t="s">
        <v>190</v>
      </c>
      <c r="C28" s="10" t="s">
        <v>252</v>
      </c>
      <c r="D28" s="10" t="s">
        <v>253</v>
      </c>
      <c r="E28" s="11" t="s">
        <v>254</v>
      </c>
      <c r="F28" s="11" t="s">
        <v>255</v>
      </c>
      <c r="G28" s="10" t="s">
        <v>256</v>
      </c>
      <c r="H28" s="10" t="s">
        <v>130</v>
      </c>
      <c r="I28" s="10"/>
      <c r="J28" s="10"/>
      <c r="K28" s="10"/>
      <c r="L28" s="10"/>
    </row>
    <row r="29" customFormat="false" ht="23.85" hidden="false" customHeight="false" outlineLevel="0" collapsed="false">
      <c r="A29" s="10" t="s">
        <v>257</v>
      </c>
      <c r="B29" s="10" t="s">
        <v>177</v>
      </c>
      <c r="C29" s="10" t="s">
        <v>258</v>
      </c>
      <c r="D29" s="10" t="s">
        <v>185</v>
      </c>
      <c r="E29" s="11" t="s">
        <v>259</v>
      </c>
      <c r="F29" s="10" t="s">
        <v>260</v>
      </c>
      <c r="G29" s="10" t="s">
        <v>261</v>
      </c>
      <c r="H29" s="10" t="s">
        <v>130</v>
      </c>
      <c r="I29" s="10"/>
      <c r="J29" s="10"/>
      <c r="K29" s="10"/>
      <c r="L29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4"/>
  </cols>
  <sheetData>
    <row r="1" customFormat="false" ht="16.15" hidden="false" customHeight="false" outlineLevel="0" collapsed="false">
      <c r="A1" s="8" t="s">
        <v>262</v>
      </c>
    </row>
    <row r="2" customFormat="false" ht="15" hidden="false" customHeight="false" outlineLevel="0" collapsed="false">
      <c r="A2" s="2" t="s">
        <v>263</v>
      </c>
    </row>
    <row r="4" customFormat="false" ht="15" hidden="false" customHeight="false" outlineLevel="0" collapsed="false">
      <c r="A4" s="9" t="s">
        <v>93</v>
      </c>
      <c r="B4" s="9" t="s">
        <v>264</v>
      </c>
      <c r="C4" s="9" t="s">
        <v>265</v>
      </c>
      <c r="D4" s="9" t="s">
        <v>266</v>
      </c>
      <c r="E4" s="9" t="s">
        <v>267</v>
      </c>
      <c r="F4" s="9" t="s">
        <v>268</v>
      </c>
    </row>
    <row r="5" customFormat="false" ht="15" hidden="false" customHeight="false" outlineLevel="0" collapsed="false">
      <c r="A5" s="10" t="s">
        <v>105</v>
      </c>
      <c r="B5" s="12" t="n">
        <f aca="false">COUNTIF('Test Cases'!$B$5:$B$29,$A5)</f>
        <v>2</v>
      </c>
      <c r="C5" s="13" t="n">
        <f aca="false">COUNTIFS('Test Cases'!$B$5:$B$29,$A5,'Test Cases'!$J$5:$J$29,"Pass")</f>
        <v>0</v>
      </c>
      <c r="D5" s="13" t="n">
        <f aca="false">COUNTIFS('Test Cases'!$B$5:$B$29,$A5,'Test Cases'!$J$5:$J$29,"Fail")</f>
        <v>0</v>
      </c>
      <c r="E5" s="12" t="n">
        <f aca="false">B5-C5-D5</f>
        <v>2</v>
      </c>
      <c r="F5" s="14" t="n">
        <f aca="false">IF(B5=0,"-",C5/B5)</f>
        <v>0</v>
      </c>
    </row>
    <row r="6" customFormat="false" ht="15" hidden="false" customHeight="false" outlineLevel="0" collapsed="false">
      <c r="A6" s="10" t="s">
        <v>113</v>
      </c>
      <c r="B6" s="12" t="n">
        <f aca="false">COUNTIF('Test Cases'!$B$5:$B$29,$A6)</f>
        <v>5</v>
      </c>
      <c r="C6" s="13" t="n">
        <f aca="false">COUNTIFS('Test Cases'!$B$5:$B$29,$A6,'Test Cases'!$J$5:$J$29,"Pass")</f>
        <v>0</v>
      </c>
      <c r="D6" s="13" t="n">
        <f aca="false">COUNTIFS('Test Cases'!$B$5:$B$29,$A6,'Test Cases'!$J$5:$J$29,"Fail")</f>
        <v>0</v>
      </c>
      <c r="E6" s="12" t="n">
        <f aca="false">B6-C6-D6</f>
        <v>5</v>
      </c>
      <c r="F6" s="14" t="n">
        <f aca="false">IF(B6=0,"-",C6/B6)</f>
        <v>0</v>
      </c>
    </row>
    <row r="7" customFormat="false" ht="15" hidden="false" customHeight="false" outlineLevel="0" collapsed="false">
      <c r="A7" s="10" t="s">
        <v>145</v>
      </c>
      <c r="B7" s="12" t="n">
        <f aca="false">COUNTIF('Test Cases'!$B$5:$B$29,$A7)</f>
        <v>1</v>
      </c>
      <c r="C7" s="13" t="n">
        <f aca="false">COUNTIFS('Test Cases'!$B$5:$B$29,$A7,'Test Cases'!$J$5:$J$29,"Pass")</f>
        <v>0</v>
      </c>
      <c r="D7" s="13" t="n">
        <f aca="false">COUNTIFS('Test Cases'!$B$5:$B$29,$A7,'Test Cases'!$J$5:$J$29,"Fail")</f>
        <v>0</v>
      </c>
      <c r="E7" s="12" t="n">
        <f aca="false">B7-C7-D7</f>
        <v>1</v>
      </c>
      <c r="F7" s="14" t="n">
        <f aca="false">IF(B7=0,"-",C7/B7)</f>
        <v>0</v>
      </c>
    </row>
    <row r="8" customFormat="false" ht="15" hidden="false" customHeight="false" outlineLevel="0" collapsed="false">
      <c r="A8" s="10" t="s">
        <v>152</v>
      </c>
      <c r="B8" s="12" t="n">
        <f aca="false">COUNTIF('Test Cases'!$B$5:$B$29,$A8)</f>
        <v>3</v>
      </c>
      <c r="C8" s="13" t="n">
        <f aca="false">COUNTIFS('Test Cases'!$B$5:$B$29,$A8,'Test Cases'!$J$5:$J$29,"Pass")</f>
        <v>0</v>
      </c>
      <c r="D8" s="13" t="n">
        <f aca="false">COUNTIFS('Test Cases'!$B$5:$B$29,$A8,'Test Cases'!$J$5:$J$29,"Fail")</f>
        <v>0</v>
      </c>
      <c r="E8" s="12" t="n">
        <f aca="false">B8-C8-D8</f>
        <v>3</v>
      </c>
      <c r="F8" s="14" t="n">
        <f aca="false">IF(B8=0,"-",C8/B8)</f>
        <v>0</v>
      </c>
    </row>
    <row r="9" customFormat="false" ht="15" hidden="false" customHeight="false" outlineLevel="0" collapsed="false">
      <c r="A9" s="10" t="s">
        <v>177</v>
      </c>
      <c r="B9" s="12" t="n">
        <f aca="false">COUNTIF('Test Cases'!$B$5:$B$29,$A9)</f>
        <v>5</v>
      </c>
      <c r="C9" s="13" t="n">
        <f aca="false">COUNTIFS('Test Cases'!$B$5:$B$29,$A9,'Test Cases'!$J$5:$J$29,"Pass")</f>
        <v>0</v>
      </c>
      <c r="D9" s="13" t="n">
        <f aca="false">COUNTIFS('Test Cases'!$B$5:$B$29,$A9,'Test Cases'!$J$5:$J$29,"Fail")</f>
        <v>0</v>
      </c>
      <c r="E9" s="12" t="n">
        <f aca="false">B9-C9-D9</f>
        <v>5</v>
      </c>
      <c r="F9" s="14" t="n">
        <f aca="false">IF(B9=0,"-",C9/B9)</f>
        <v>0</v>
      </c>
    </row>
    <row r="10" customFormat="false" ht="15" hidden="false" customHeight="false" outlineLevel="0" collapsed="false">
      <c r="A10" s="10" t="s">
        <v>190</v>
      </c>
      <c r="B10" s="12" t="n">
        <f aca="false">COUNTIF('Test Cases'!$B$5:$B$29,$A10)</f>
        <v>2</v>
      </c>
      <c r="C10" s="13" t="n">
        <f aca="false">COUNTIFS('Test Cases'!$B$5:$B$29,$A10,'Test Cases'!$J$5:$J$29,"Pass")</f>
        <v>0</v>
      </c>
      <c r="D10" s="13" t="n">
        <f aca="false">COUNTIFS('Test Cases'!$B$5:$B$29,$A10,'Test Cases'!$J$5:$J$29,"Fail")</f>
        <v>0</v>
      </c>
      <c r="E10" s="12" t="n">
        <f aca="false">B10-C10-D10</f>
        <v>2</v>
      </c>
      <c r="F10" s="14" t="n">
        <f aca="false">IF(B10=0,"-",C10/B10)</f>
        <v>0</v>
      </c>
    </row>
    <row r="11" customFormat="false" ht="15" hidden="false" customHeight="false" outlineLevel="0" collapsed="false">
      <c r="A11" s="10" t="s">
        <v>138</v>
      </c>
      <c r="B11" s="12" t="n">
        <f aca="false">COUNTIF('Test Cases'!$B$5:$B$29,$A11)</f>
        <v>5</v>
      </c>
      <c r="C11" s="13" t="n">
        <f aca="false">COUNTIFS('Test Cases'!$B$5:$B$29,$A11,'Test Cases'!$J$5:$J$29,"Pass")</f>
        <v>0</v>
      </c>
      <c r="D11" s="13" t="n">
        <f aca="false">COUNTIFS('Test Cases'!$B$5:$B$29,$A11,'Test Cases'!$J$5:$J$29,"Fail")</f>
        <v>0</v>
      </c>
      <c r="E11" s="12" t="n">
        <f aca="false">B11-C11-D11</f>
        <v>5</v>
      </c>
      <c r="F11" s="14" t="n">
        <f aca="false">IF(B11=0,"-",C11/B11)</f>
        <v>0</v>
      </c>
    </row>
    <row r="12" customFormat="false" ht="15" hidden="false" customHeight="false" outlineLevel="0" collapsed="false">
      <c r="A12" s="10" t="s">
        <v>227</v>
      </c>
      <c r="B12" s="12" t="n">
        <f aca="false">COUNTIF('Test Cases'!$B$5:$B$29,$A12)</f>
        <v>1</v>
      </c>
      <c r="C12" s="13" t="n">
        <f aca="false">COUNTIFS('Test Cases'!$B$5:$B$29,$A12,'Test Cases'!$J$5:$J$29,"Pass")</f>
        <v>0</v>
      </c>
      <c r="D12" s="13" t="n">
        <f aca="false">COUNTIFS('Test Cases'!$B$5:$B$29,$A12,'Test Cases'!$J$5:$J$29,"Fail")</f>
        <v>0</v>
      </c>
      <c r="E12" s="12" t="n">
        <f aca="false">B12-C12-D12</f>
        <v>1</v>
      </c>
      <c r="F12" s="14" t="n">
        <f aca="false">IF(B12=0,"-",C12/B12)</f>
        <v>0</v>
      </c>
    </row>
    <row r="13" customFormat="false" ht="15" hidden="false" customHeight="false" outlineLevel="0" collapsed="false">
      <c r="A13" s="10" t="s">
        <v>234</v>
      </c>
      <c r="B13" s="12" t="n">
        <f aca="false">COUNTIF('Test Cases'!$B$5:$B$29,$A13)</f>
        <v>1</v>
      </c>
      <c r="C13" s="13" t="n">
        <f aca="false">COUNTIFS('Test Cases'!$B$5:$B$29,$A13,'Test Cases'!$J$5:$J$29,"Pass")</f>
        <v>0</v>
      </c>
      <c r="D13" s="13" t="n">
        <f aca="false">COUNTIFS('Test Cases'!$B$5:$B$29,$A13,'Test Cases'!$J$5:$J$29,"Fail")</f>
        <v>0</v>
      </c>
      <c r="E13" s="12" t="n">
        <f aca="false">B13-C13-D13</f>
        <v>1</v>
      </c>
      <c r="F13" s="14" t="n">
        <f aca="false">IF(B13=0,"-",C13/B13)</f>
        <v>0</v>
      </c>
    </row>
    <row r="14" customFormat="false" ht="15" hidden="false" customHeight="false" outlineLevel="0" collapsed="false">
      <c r="A14" s="15" t="s">
        <v>269</v>
      </c>
      <c r="B14" s="16" t="n">
        <f aca="false">SUM(B5:B13)</f>
        <v>25</v>
      </c>
      <c r="C14" s="16" t="n">
        <f aca="false">SUM(C5:C13)</f>
        <v>0</v>
      </c>
      <c r="D14" s="16" t="n">
        <f aca="false">SUM(D5:D13)</f>
        <v>0</v>
      </c>
      <c r="E14" s="16" t="n">
        <f aca="false">SUM(E5:E13)</f>
        <v>25</v>
      </c>
      <c r="F14" s="17" t="n">
        <f aca="false">IF(B14=0,"-",C14/B14)</f>
        <v>0</v>
      </c>
    </row>
    <row r="16" customFormat="false" ht="15" hidden="false" customHeight="false" outlineLevel="0" collapsed="false">
      <c r="A16" s="6" t="s">
        <v>270</v>
      </c>
    </row>
    <row r="17" customFormat="false" ht="15" hidden="false" customHeight="false" outlineLevel="0" collapsed="false">
      <c r="A17" s="5" t="s">
        <v>271</v>
      </c>
      <c r="B17" s="4" t="str">
        <f aca="false">IF(COUNTIFS('Test Cases'!$H$5:$H$29,"Must",'Test Cases'!$J$5:$J$29,"Pass")=COUNTIF('Test Cases'!$H$5:$H$29,"Must"),"Yes","Not yet")</f>
        <v>Not yet</v>
      </c>
    </row>
    <row r="18" customFormat="false" ht="15" hidden="false" customHeight="false" outlineLevel="0" collapsed="false">
      <c r="A18" s="5" t="s">
        <v>272</v>
      </c>
      <c r="B18" s="18" t="n">
        <f aca="false">COUNTIFS(Defects!$E$5:$E$200,"&lt;&gt;Closed",Defects!$D$5:$D$200,"&lt;=2")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15"/>
  </cols>
  <sheetData>
    <row r="1" customFormat="false" ht="16.15" hidden="false" customHeight="false" outlineLevel="0" collapsed="false">
      <c r="A1" s="8" t="s">
        <v>273</v>
      </c>
    </row>
    <row r="2" customFormat="false" ht="15" hidden="false" customHeight="false" outlineLevel="0" collapsed="false">
      <c r="A2" s="2" t="s">
        <v>274</v>
      </c>
    </row>
    <row r="4" customFormat="false" ht="15" hidden="false" customHeight="false" outlineLevel="0" collapsed="false">
      <c r="A4" s="9" t="s">
        <v>275</v>
      </c>
      <c r="B4" s="9" t="s">
        <v>92</v>
      </c>
      <c r="C4" s="9" t="s">
        <v>276</v>
      </c>
      <c r="D4" s="9" t="s">
        <v>277</v>
      </c>
      <c r="E4" s="9" t="s">
        <v>278</v>
      </c>
      <c r="F4" s="9" t="s">
        <v>279</v>
      </c>
      <c r="G4" s="9" t="s">
        <v>280</v>
      </c>
      <c r="H4" s="9" t="s">
        <v>281</v>
      </c>
      <c r="I4" s="9" t="s">
        <v>282</v>
      </c>
      <c r="J4" s="9" t="s">
        <v>283</v>
      </c>
    </row>
    <row r="5" customFormat="false" ht="15" hidden="false" customHeight="false" outlineLevel="0" collapsed="false">
      <c r="A5" s="10" t="s">
        <v>284</v>
      </c>
      <c r="B5" s="10"/>
      <c r="C5" s="10" t="s">
        <v>285</v>
      </c>
      <c r="D5" s="12" t="n">
        <v>3</v>
      </c>
      <c r="E5" s="10" t="s">
        <v>286</v>
      </c>
      <c r="F5" s="10"/>
      <c r="G5" s="10"/>
      <c r="H5" s="10"/>
      <c r="I5" s="10"/>
      <c r="J5" s="10"/>
    </row>
    <row r="6" customFormat="false" ht="15" hidden="false" customHeight="false" outlineLevel="0" collapsed="false">
      <c r="A6" s="10"/>
      <c r="B6" s="10"/>
      <c r="C6" s="10"/>
      <c r="D6" s="12"/>
      <c r="E6" s="10"/>
      <c r="F6" s="10"/>
      <c r="G6" s="10"/>
      <c r="H6" s="10"/>
      <c r="I6" s="10"/>
      <c r="J6" s="10"/>
    </row>
    <row r="7" customFormat="false" ht="15" hidden="false" customHeight="false" outlineLevel="0" collapsed="false">
      <c r="A7" s="10"/>
      <c r="B7" s="10"/>
      <c r="C7" s="10"/>
      <c r="D7" s="12"/>
      <c r="E7" s="10"/>
      <c r="F7" s="10"/>
      <c r="G7" s="10"/>
      <c r="H7" s="10"/>
      <c r="I7" s="10"/>
      <c r="J7" s="10"/>
    </row>
    <row r="8" customFormat="false" ht="15" hidden="false" customHeight="false" outlineLevel="0" collapsed="false">
      <c r="A8" s="10"/>
      <c r="B8" s="10"/>
      <c r="C8" s="10"/>
      <c r="D8" s="12"/>
      <c r="E8" s="10"/>
      <c r="F8" s="10"/>
      <c r="G8" s="10"/>
      <c r="H8" s="10"/>
      <c r="I8" s="10"/>
      <c r="J8" s="10"/>
    </row>
    <row r="9" customFormat="false" ht="15" hidden="false" customHeight="false" outlineLevel="0" collapsed="false">
      <c r="A9" s="10"/>
      <c r="B9" s="10"/>
      <c r="C9" s="10"/>
      <c r="D9" s="12"/>
      <c r="E9" s="10"/>
      <c r="F9" s="10"/>
      <c r="G9" s="10"/>
      <c r="H9" s="10"/>
      <c r="I9" s="10"/>
      <c r="J9" s="10"/>
    </row>
    <row r="10" customFormat="false" ht="15" hidden="false" customHeight="false" outlineLevel="0" collapsed="false">
      <c r="A10" s="10"/>
      <c r="B10" s="10"/>
      <c r="C10" s="10"/>
      <c r="D10" s="12"/>
      <c r="E10" s="10"/>
      <c r="F10" s="10"/>
      <c r="G10" s="10"/>
      <c r="H10" s="10"/>
      <c r="I10" s="10"/>
      <c r="J10" s="10"/>
    </row>
    <row r="11" customFormat="false" ht="15" hidden="false" customHeight="false" outlineLevel="0" collapsed="false">
      <c r="A11" s="10"/>
      <c r="B11" s="10"/>
      <c r="C11" s="10"/>
      <c r="D11" s="12"/>
      <c r="E11" s="10"/>
      <c r="F11" s="10"/>
      <c r="G11" s="10"/>
      <c r="H11" s="10"/>
      <c r="I11" s="10"/>
      <c r="J11" s="10"/>
    </row>
    <row r="12" customFormat="false" ht="15" hidden="false" customHeight="false" outlineLevel="0" collapsed="false">
      <c r="A12" s="10"/>
      <c r="B12" s="10"/>
      <c r="C12" s="10"/>
      <c r="D12" s="12"/>
      <c r="E12" s="10"/>
      <c r="F12" s="10"/>
      <c r="G12" s="10"/>
      <c r="H12" s="10"/>
      <c r="I12" s="10"/>
      <c r="J12" s="10"/>
    </row>
    <row r="13" customFormat="false" ht="15" hidden="false" customHeight="false" outlineLevel="0" collapsed="false">
      <c r="A13" s="10"/>
      <c r="B13" s="10"/>
      <c r="C13" s="10"/>
      <c r="D13" s="12"/>
      <c r="E13" s="10"/>
      <c r="F13" s="10"/>
      <c r="G13" s="10"/>
      <c r="H13" s="10"/>
      <c r="I13" s="10"/>
      <c r="J13" s="10"/>
    </row>
    <row r="14" customFormat="false" ht="15" hidden="false" customHeight="false" outlineLevel="0" collapsed="false">
      <c r="A14" s="10"/>
      <c r="B14" s="10"/>
      <c r="C14" s="10"/>
      <c r="D14" s="12"/>
      <c r="E14" s="10"/>
      <c r="F14" s="10"/>
      <c r="G14" s="10"/>
      <c r="H14" s="10"/>
      <c r="I14" s="10"/>
      <c r="J14" s="10"/>
    </row>
    <row r="15" customFormat="false" ht="15" hidden="false" customHeight="false" outlineLevel="0" collapsed="false">
      <c r="A15" s="10"/>
      <c r="B15" s="10"/>
      <c r="C15" s="10"/>
      <c r="D15" s="12"/>
      <c r="E15" s="10"/>
      <c r="F15" s="10"/>
      <c r="G15" s="10"/>
      <c r="H15" s="10"/>
      <c r="I15" s="10"/>
      <c r="J15" s="10"/>
    </row>
    <row r="16" customFormat="false" ht="15" hidden="false" customHeight="false" outlineLevel="0" collapsed="false">
      <c r="A16" s="10"/>
      <c r="B16" s="10"/>
      <c r="C16" s="10"/>
      <c r="D16" s="12"/>
      <c r="E16" s="10"/>
      <c r="F16" s="10"/>
      <c r="G16" s="10"/>
      <c r="H16" s="10"/>
      <c r="I16" s="10"/>
      <c r="J16" s="10"/>
    </row>
    <row r="17" customFormat="false" ht="15" hidden="false" customHeight="false" outlineLevel="0" collapsed="false">
      <c r="A17" s="10"/>
      <c r="B17" s="10"/>
      <c r="C17" s="10"/>
      <c r="D17" s="12"/>
      <c r="E17" s="10"/>
      <c r="F17" s="10"/>
      <c r="G17" s="10"/>
      <c r="H17" s="10"/>
      <c r="I17" s="10"/>
      <c r="J17" s="10"/>
    </row>
    <row r="18" customFormat="false" ht="15" hidden="false" customHeight="false" outlineLevel="0" collapsed="false">
      <c r="A18" s="10"/>
      <c r="B18" s="10"/>
      <c r="C18" s="10"/>
      <c r="D18" s="12"/>
      <c r="E18" s="10"/>
      <c r="F18" s="10"/>
      <c r="G18" s="10"/>
      <c r="H18" s="10"/>
      <c r="I18" s="10"/>
      <c r="J18" s="10"/>
    </row>
    <row r="19" customFormat="false" ht="15" hidden="false" customHeight="false" outlineLevel="0" collapsed="false">
      <c r="A19" s="10"/>
      <c r="B19" s="10"/>
      <c r="C19" s="10"/>
      <c r="D19" s="12"/>
      <c r="E19" s="10"/>
      <c r="F19" s="10"/>
      <c r="G19" s="10"/>
      <c r="H19" s="10"/>
      <c r="I19" s="10"/>
      <c r="J19" s="10"/>
    </row>
    <row r="20" customFormat="false" ht="15" hidden="false" customHeight="false" outlineLevel="0" collapsed="false">
      <c r="A20" s="10"/>
      <c r="B20" s="10"/>
      <c r="C20" s="10"/>
      <c r="D20" s="12"/>
      <c r="E20" s="10"/>
      <c r="F20" s="10"/>
      <c r="G20" s="10"/>
      <c r="H20" s="10"/>
      <c r="I20" s="10"/>
      <c r="J20" s="10"/>
    </row>
    <row r="21" customFormat="false" ht="15" hidden="false" customHeight="false" outlineLevel="0" collapsed="false">
      <c r="A21" s="10"/>
      <c r="B21" s="10"/>
      <c r="C21" s="10"/>
      <c r="D21" s="12"/>
      <c r="E21" s="10"/>
      <c r="F21" s="10"/>
      <c r="G21" s="10"/>
      <c r="H21" s="10"/>
      <c r="I21" s="10"/>
      <c r="J21" s="10"/>
    </row>
    <row r="22" customFormat="false" ht="15" hidden="false" customHeight="false" outlineLevel="0" collapsed="false">
      <c r="A22" s="10"/>
      <c r="B22" s="10"/>
      <c r="C22" s="10"/>
      <c r="D22" s="12"/>
      <c r="E22" s="10"/>
      <c r="F22" s="10"/>
      <c r="G22" s="10"/>
      <c r="H22" s="10"/>
      <c r="I22" s="10"/>
      <c r="J22" s="10"/>
    </row>
    <row r="23" customFormat="false" ht="15" hidden="false" customHeight="false" outlineLevel="0" collapsed="false">
      <c r="A23" s="10"/>
      <c r="B23" s="10"/>
      <c r="C23" s="10"/>
      <c r="D23" s="12"/>
      <c r="E23" s="10"/>
      <c r="F23" s="10"/>
      <c r="G23" s="10"/>
      <c r="H23" s="10"/>
      <c r="I23" s="10"/>
      <c r="J23" s="10"/>
    </row>
    <row r="24" customFormat="false" ht="15" hidden="false" customHeight="false" outlineLevel="0" collapsed="false">
      <c r="A24" s="10"/>
      <c r="B24" s="10"/>
      <c r="C24" s="10"/>
      <c r="D24" s="12"/>
      <c r="E24" s="10"/>
      <c r="F24" s="10"/>
      <c r="G24" s="10"/>
      <c r="H24" s="10"/>
      <c r="I24" s="10"/>
      <c r="J24" s="10"/>
    </row>
    <row r="25" customFormat="false" ht="15" hidden="false" customHeight="false" outlineLevel="0" collapsed="false">
      <c r="A25" s="10"/>
      <c r="B25" s="10"/>
      <c r="C25" s="10"/>
      <c r="D25" s="12"/>
      <c r="E25" s="10"/>
      <c r="F25" s="10"/>
      <c r="G25" s="10"/>
      <c r="H25" s="10"/>
      <c r="I25" s="10"/>
      <c r="J25" s="10"/>
    </row>
    <row r="26" customFormat="false" ht="15" hidden="false" customHeight="false" outlineLevel="0" collapsed="false">
      <c r="A26" s="10"/>
      <c r="B26" s="10"/>
      <c r="C26" s="10"/>
      <c r="D26" s="12"/>
      <c r="E26" s="10"/>
      <c r="F26" s="10"/>
      <c r="G26" s="10"/>
      <c r="H26" s="10"/>
      <c r="I26" s="10"/>
      <c r="J26" s="10"/>
    </row>
    <row r="27" customFormat="false" ht="15" hidden="false" customHeight="false" outlineLevel="0" collapsed="false">
      <c r="A27" s="10"/>
      <c r="B27" s="10"/>
      <c r="C27" s="10"/>
      <c r="D27" s="12"/>
      <c r="E27" s="10"/>
      <c r="F27" s="10"/>
      <c r="G27" s="10"/>
      <c r="H27" s="10"/>
      <c r="I27" s="10"/>
      <c r="J27" s="10"/>
    </row>
    <row r="28" customFormat="false" ht="15" hidden="false" customHeight="false" outlineLevel="0" collapsed="false">
      <c r="A28" s="10"/>
      <c r="B28" s="10"/>
      <c r="C28" s="10"/>
      <c r="D28" s="12"/>
      <c r="E28" s="10"/>
      <c r="F28" s="10"/>
      <c r="G28" s="10"/>
      <c r="H28" s="10"/>
      <c r="I28" s="10"/>
      <c r="J28" s="10"/>
    </row>
    <row r="29" customFormat="false" ht="15" hidden="false" customHeight="false" outlineLevel="0" collapsed="false">
      <c r="A29" s="10"/>
      <c r="B29" s="10"/>
      <c r="C29" s="10"/>
      <c r="D29" s="12"/>
      <c r="E29" s="10"/>
      <c r="F29" s="10"/>
      <c r="G29" s="10"/>
      <c r="H29" s="10"/>
      <c r="I29" s="10"/>
      <c r="J29" s="10"/>
    </row>
    <row r="30" customFormat="false" ht="15" hidden="false" customHeight="false" outlineLevel="0" collapsed="false">
      <c r="A30" s="10"/>
      <c r="B30" s="10"/>
      <c r="C30" s="10"/>
      <c r="D30" s="12"/>
      <c r="E30" s="10"/>
      <c r="F30" s="10"/>
      <c r="G30" s="10"/>
      <c r="H30" s="10"/>
      <c r="I30" s="10"/>
      <c r="J30" s="10"/>
    </row>
    <row r="31" customFormat="false" ht="15" hidden="false" customHeight="false" outlineLevel="0" collapsed="false">
      <c r="A31" s="10"/>
      <c r="B31" s="10"/>
      <c r="C31" s="10"/>
      <c r="D31" s="12"/>
      <c r="E31" s="10"/>
      <c r="F31" s="10"/>
      <c r="G31" s="10"/>
      <c r="H31" s="10"/>
      <c r="I31" s="10"/>
      <c r="J31" s="10"/>
    </row>
    <row r="32" customFormat="false" ht="15" hidden="false" customHeight="false" outlineLevel="0" collapsed="false">
      <c r="A32" s="10"/>
      <c r="B32" s="10"/>
      <c r="C32" s="10"/>
      <c r="D32" s="12"/>
      <c r="E32" s="10"/>
      <c r="F32" s="10"/>
      <c r="G32" s="10"/>
      <c r="H32" s="10"/>
      <c r="I32" s="10"/>
      <c r="J32" s="10"/>
    </row>
    <row r="33" customFormat="false" ht="15" hidden="false" customHeight="false" outlineLevel="0" collapsed="false">
      <c r="A33" s="10"/>
      <c r="B33" s="10"/>
      <c r="C33" s="10"/>
      <c r="D33" s="12"/>
      <c r="E33" s="10"/>
      <c r="F33" s="10"/>
      <c r="G33" s="10"/>
      <c r="H33" s="10"/>
      <c r="I33" s="10"/>
      <c r="J33" s="10"/>
    </row>
    <row r="34" customFormat="false" ht="15" hidden="false" customHeight="false" outlineLevel="0" collapsed="false">
      <c r="A34" s="10"/>
      <c r="B34" s="10"/>
      <c r="C34" s="10"/>
      <c r="D34" s="12"/>
      <c r="E34" s="10"/>
      <c r="F34" s="10"/>
      <c r="G34" s="10"/>
      <c r="H34" s="10"/>
      <c r="I34" s="10"/>
      <c r="J34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8" t="s">
        <v>287</v>
      </c>
    </row>
    <row r="2" customFormat="false" ht="15" hidden="false" customHeight="false" outlineLevel="0" collapsed="false">
      <c r="A2" s="2" t="s">
        <v>288</v>
      </c>
    </row>
    <row r="4" customFormat="false" ht="15" hidden="false" customHeight="false" outlineLevel="0" collapsed="false">
      <c r="A4" s="9" t="s">
        <v>289</v>
      </c>
      <c r="B4" s="9" t="s">
        <v>290</v>
      </c>
      <c r="C4" s="9" t="s">
        <v>291</v>
      </c>
      <c r="D4" s="9" t="s">
        <v>292</v>
      </c>
      <c r="E4" s="9" t="s">
        <v>103</v>
      </c>
    </row>
    <row r="5" customFormat="false" ht="15" hidden="false" customHeight="false" outlineLevel="0" collapsed="false">
      <c r="A5" s="10" t="s">
        <v>293</v>
      </c>
      <c r="B5" s="10" t="s">
        <v>294</v>
      </c>
      <c r="C5" s="10" t="s">
        <v>295</v>
      </c>
      <c r="D5" s="10"/>
      <c r="E5" s="10"/>
    </row>
    <row r="6" customFormat="false" ht="15" hidden="false" customHeight="false" outlineLevel="0" collapsed="false">
      <c r="A6" s="10" t="s">
        <v>296</v>
      </c>
      <c r="B6" s="10" t="s">
        <v>297</v>
      </c>
      <c r="C6" s="10" t="s">
        <v>298</v>
      </c>
      <c r="D6" s="10"/>
      <c r="E6" s="10"/>
    </row>
    <row r="7" customFormat="false" ht="15" hidden="false" customHeight="false" outlineLevel="0" collapsed="false">
      <c r="A7" s="10" t="s">
        <v>299</v>
      </c>
      <c r="B7" s="10" t="s">
        <v>300</v>
      </c>
      <c r="C7" s="10" t="s">
        <v>301</v>
      </c>
      <c r="D7" s="10"/>
      <c r="E7" s="10"/>
    </row>
    <row r="8" customFormat="false" ht="15" hidden="false" customHeight="false" outlineLevel="0" collapsed="false">
      <c r="A8" s="10" t="s">
        <v>302</v>
      </c>
      <c r="B8" s="10" t="s">
        <v>303</v>
      </c>
      <c r="C8" s="10" t="s">
        <v>304</v>
      </c>
      <c r="D8" s="10"/>
      <c r="E8" s="10"/>
    </row>
    <row r="9" customFormat="false" ht="15" hidden="false" customHeight="false" outlineLevel="0" collapsed="false">
      <c r="A9" s="10" t="s">
        <v>305</v>
      </c>
      <c r="B9" s="10" t="s">
        <v>306</v>
      </c>
      <c r="C9" s="10" t="s">
        <v>307</v>
      </c>
      <c r="D9" s="10"/>
      <c r="E9" s="10"/>
    </row>
    <row r="10" customFormat="false" ht="15" hidden="false" customHeight="false" outlineLevel="0" collapsed="false">
      <c r="A10" s="10" t="s">
        <v>308</v>
      </c>
      <c r="B10" s="10" t="s">
        <v>309</v>
      </c>
      <c r="C10" s="10" t="s">
        <v>310</v>
      </c>
      <c r="D10" s="10"/>
      <c r="E10" s="10"/>
    </row>
    <row r="11" customFormat="false" ht="15" hidden="false" customHeight="false" outlineLevel="0" collapsed="false">
      <c r="A11" s="10" t="s">
        <v>311</v>
      </c>
      <c r="B11" s="10" t="s">
        <v>312</v>
      </c>
      <c r="C11" s="10" t="s">
        <v>313</v>
      </c>
      <c r="D11" s="10"/>
      <c r="E11" s="10"/>
    </row>
    <row r="12" customFormat="false" ht="15" hidden="false" customHeight="false" outlineLevel="0" collapsed="false">
      <c r="A12" s="10" t="s">
        <v>314</v>
      </c>
      <c r="B12" s="10" t="s">
        <v>315</v>
      </c>
      <c r="C12" s="10" t="s">
        <v>316</v>
      </c>
      <c r="D12" s="10"/>
      <c r="E12" s="10"/>
    </row>
    <row r="13" customFormat="false" ht="15" hidden="false" customHeight="false" outlineLevel="0" collapsed="false">
      <c r="A13" s="10" t="s">
        <v>317</v>
      </c>
      <c r="B13" s="10" t="s">
        <v>318</v>
      </c>
      <c r="C13" s="10" t="s">
        <v>319</v>
      </c>
      <c r="D13" s="10"/>
      <c r="E13" s="10"/>
    </row>
    <row r="14" customFormat="false" ht="15" hidden="false" customHeight="false" outlineLevel="0" collapsed="false">
      <c r="A14" s="10" t="s">
        <v>320</v>
      </c>
      <c r="B14" s="10" t="s">
        <v>321</v>
      </c>
      <c r="C14" s="10" t="s">
        <v>322</v>
      </c>
      <c r="D14" s="10"/>
      <c r="E14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2026-10-25T12:41:24Z</dcterms:created>
  <dc:creator>openpyxl</dc:creator>
  <dc:description/>
  <dc:language>en-US</dc:language>
  <cp:lastModifiedBy/>
  <dcterms:modified xsi:type="dcterms:W3CDTF">2026-10-25T12:41:24Z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