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Assumptions" sheetId="2" state="visible" r:id="rId4"/>
    <sheet name="Services" sheetId="3" state="visible" r:id="rId5"/>
    <sheet name="Licenses" sheetId="4" state="visible" r:id="rId6"/>
    <sheet name="Milestone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<sst xmlns="http://schemas.openxmlformats.org/spreadsheetml/2006/main" count="123" uniqueCount="105">
  <si>
    <t xml:space="preserve">Financial Proposal - Summary</t>
  </si>
  <si>
    <t xml:space="preserve">Smart Core - Beitak Smart Odoo ERP Implementation | Khomasi ERP | v1.0 29 Oct 2026. Fictional project figures.</t>
  </si>
  <si>
    <t xml:space="preserve">Item</t>
  </si>
  <si>
    <t xml:space="preserve">EGP</t>
  </si>
  <si>
    <t xml:space="preserve">US$</t>
  </si>
  <si>
    <t xml:space="preserve">Implementation services (excl. VAT)</t>
  </si>
  <si>
    <t xml:space="preserve">VAT on services</t>
  </si>
  <si>
    <t xml:space="preserve">Implementation services (incl. VAT)</t>
  </si>
  <si>
    <t xml:space="preserve">Odoo subscription - year 1 (Custom, offer price)</t>
  </si>
  <si>
    <t xml:space="preserve">Total year-1 investment (excl. VAT)</t>
  </si>
  <si>
    <t xml:space="preserve">Yearly subscription from year 2 (list price estimate)</t>
  </si>
  <si>
    <t xml:space="preserve">Consultant days</t>
  </si>
  <si>
    <t xml:space="preserve">Pricing Assumptions</t>
  </si>
  <si>
    <t xml:space="preserve">Blue cells are inputs - change them and every sheet recalculates.</t>
  </si>
  <si>
    <t xml:space="preserve">Value</t>
  </si>
  <si>
    <t xml:space="preserve">Note</t>
  </si>
  <si>
    <t xml:space="preserve">PM day rate (EGP)</t>
  </si>
  <si>
    <t xml:space="preserve">Assumption - Egyptian market</t>
  </si>
  <si>
    <t xml:space="preserve">Functional day rate (EGP)</t>
  </si>
  <si>
    <t xml:space="preserve">Assumption</t>
  </si>
  <si>
    <t xml:space="preserve">Technical day rate (EGP)</t>
  </si>
  <si>
    <t xml:space="preserve">Risk contingency</t>
  </si>
  <si>
    <t xml:space="preserve">Share of services</t>
  </si>
  <si>
    <t xml:space="preserve">To be confirmed by tax specialist</t>
  </si>
  <si>
    <t xml:space="preserve">USD / EGP rate</t>
  </si>
  <si>
    <t xml:space="preserve">Project assumption</t>
  </si>
  <si>
    <t xml:space="preserve">Users</t>
  </si>
  <si>
    <t xml:space="preserve">Users per Department sheet</t>
  </si>
  <si>
    <t xml:space="preserve">Custom plan - offer (US$/user/month)</t>
  </si>
  <si>
    <t xml:space="preserve">odoo.com/pricing, 25 Oct 2026</t>
  </si>
  <si>
    <t xml:space="preserve">Custom plan - list (US$/user/month)</t>
  </si>
  <si>
    <t xml:space="preserve">Struck-through price on pricing page</t>
  </si>
  <si>
    <t xml:space="preserve">Standard plan (US$/user/month)</t>
  </si>
  <si>
    <t xml:space="preserve">Comparison only - no Studio</t>
  </si>
  <si>
    <t xml:space="preserve">Light user (US$/user/month)</t>
  </si>
  <si>
    <t xml:space="preserve">Not used - conditions to confirm</t>
  </si>
  <si>
    <t xml:space="preserve">Months per year</t>
  </si>
  <si>
    <t xml:space="preserve">Implementation Services</t>
  </si>
  <si>
    <t xml:space="preserve">Days per workstream x day rate by role.</t>
  </si>
  <si>
    <t xml:space="preserve">Workstream</t>
  </si>
  <si>
    <t xml:space="preserve">Role</t>
  </si>
  <si>
    <t xml:space="preserve">Days</t>
  </si>
  <si>
    <t xml:space="preserve">Rate (EGP)</t>
  </si>
  <si>
    <t xml:space="preserve">Amount (EGP)</t>
  </si>
  <si>
    <t xml:space="preserve">Project management (planning, steering, reporting, change control)</t>
  </si>
  <si>
    <t xml:space="preserve">Project Manager</t>
  </si>
  <si>
    <t xml:space="preserve">Discovery &amp; analysis (workshops, BRD, GAWF, RTM)</t>
  </si>
  <si>
    <t xml:space="preserve">Functional</t>
  </si>
  <si>
    <t xml:space="preserve">Solution design (SSD, TPD)</t>
  </si>
  <si>
    <t xml:space="preserve">Configuration - Accounting</t>
  </si>
  <si>
    <t xml:space="preserve">Configuration - Inventory &amp; landed costs</t>
  </si>
  <si>
    <t xml:space="preserve">Configuration - Manufacturing</t>
  </si>
  <si>
    <t xml:space="preserve">Configuration - Sales &amp; CRM</t>
  </si>
  <si>
    <t xml:space="preserve">Configuration - Point of Sale</t>
  </si>
  <si>
    <t xml:space="preserve">Configuration - Purchase</t>
  </si>
  <si>
    <t xml:space="preserve">Configuration - HR (Employees, Time Off, Attendances)</t>
  </si>
  <si>
    <t xml:space="preserve">Data migration (27 import files, validation, cutover loads)</t>
  </si>
  <si>
    <t xml:space="preserve">Customizations (11 items - RTM register)</t>
  </si>
  <si>
    <t xml:space="preserve">Technical</t>
  </si>
  <si>
    <t xml:space="preserve">Testing &amp; UAT support</t>
  </si>
  <si>
    <t xml:space="preserve">Training &amp; user guides (TD, UDP)</t>
  </si>
  <si>
    <t xml:space="preserve">Cutover &amp; go-live</t>
  </si>
  <si>
    <t xml:space="preserve">Hypercare (4 weeks after go-live)</t>
  </si>
  <si>
    <t xml:space="preserve">Subtotal</t>
  </si>
  <si>
    <t xml:space="preserve">Services total (excl. VAT)</t>
  </si>
  <si>
    <t xml:space="preserve">VAT</t>
  </si>
  <si>
    <t xml:space="preserve">Services total (incl. VAT)</t>
  </si>
  <si>
    <t xml:space="preserve">Odoo Subscription Options</t>
  </si>
  <si>
    <t xml:space="preserve">Paid by Beitak Smart to Odoo in USD; converted at the assumed rate.</t>
  </si>
  <si>
    <t xml:space="preserve">Option</t>
  </si>
  <si>
    <t xml:space="preserve">US$/user/month</t>
  </si>
  <si>
    <t xml:space="preserve">Year (US$)</t>
  </si>
  <si>
    <t xml:space="preserve">Year (EGP)</t>
  </si>
  <si>
    <t xml:space="preserve">Fit</t>
  </si>
  <si>
    <t xml:space="preserve">Custom - offer price (recommended)</t>
  </si>
  <si>
    <t xml:space="preserve">Includes Studio</t>
  </si>
  <si>
    <t xml:space="preserve">Custom - list price (renewal estimate)</t>
  </si>
  <si>
    <t xml:space="preserve">Budget from year 2</t>
  </si>
  <si>
    <t xml:space="preserve">Standard (comparison)</t>
  </si>
  <si>
    <t xml:space="preserve">No Studio - customizations not possible</t>
  </si>
  <si>
    <t xml:space="preserve">Light user (not used)</t>
  </si>
  <si>
    <t xml:space="preserve">Conditions to confirm on odoo.com</t>
  </si>
  <si>
    <t xml:space="preserve">Payment Milestones (services)</t>
  </si>
  <si>
    <t xml:space="preserve">Percentages are inputs; amounts follow the services total.</t>
  </si>
  <si>
    <t xml:space="preserve">Milestone</t>
  </si>
  <si>
    <t xml:space="preserve">Planned date</t>
  </si>
  <si>
    <t xml:space="preserve">%</t>
  </si>
  <si>
    <t xml:space="preserve">Amount excl. VAT (EGP)</t>
  </si>
  <si>
    <t xml:space="preserve">Amount incl. VAT (EGP)</t>
  </si>
  <si>
    <t xml:space="preserve">M1 Project kick-off</t>
  </si>
  <si>
    <t xml:space="preserve">04 Oct 2026</t>
  </si>
  <si>
    <t xml:space="preserve">M2 BRD sign-off</t>
  </si>
  <si>
    <t xml:space="preserve">22 Oct 2026</t>
  </si>
  <si>
    <t xml:space="preserve">M3 Solution &amp; proposals sign-off</t>
  </si>
  <si>
    <t xml:space="preserve">05 Nov 2026</t>
  </si>
  <si>
    <t xml:space="preserve">M4 Configuration &amp; data migration complete</t>
  </si>
  <si>
    <t xml:space="preserve">03 Dec 2026</t>
  </si>
  <si>
    <t xml:space="preserve">M5 UAT sign-off</t>
  </si>
  <si>
    <t xml:space="preserve">17 Dec 2026</t>
  </si>
  <si>
    <t xml:space="preserve">M6 Go-live</t>
  </si>
  <si>
    <t xml:space="preserve">01 Jan 2027</t>
  </si>
  <si>
    <t xml:space="preserve">M7 Hypercare closure</t>
  </si>
  <si>
    <t xml:space="preserve">28 Jan 2027</t>
  </si>
  <si>
    <t xml:space="preserve">Total</t>
  </si>
  <si>
    <t xml:space="preserve">Check: total % = 100%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</si>
</sst>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.00;\(#,##0.00\);\-"/>
    <numFmt numFmtId="166" formatCode="0.0"/>
    <numFmt numFmtId="167" formatCode="#,##0;\(#,##0\);\-"/>
    <numFmt numFmtId="168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4E5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4E5F"/>
        <bgColor rgb="FF333333"/>
      </patternFill>
    </fill>
    <fill>
      <patternFill patternType="solid">
        <fgColor rgb="FFE8EEF0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E8EE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F4E5F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18"/>
    <col collapsed="false" customWidth="true" hidden="false" outlineLevel="0" max="3" min="3" style="0" width="1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5</v>
      </c>
      <c r="B5" s="5" t="n">
        <f aca="false">Services!$E$23</f>
        <v>981750</v>
      </c>
    </row>
    <row r="6" customFormat="false" ht="15" hidden="false" customHeight="false" outlineLevel="0" collapsed="false">
      <c r="A6" s="4" t="s">
        <v>6</v>
      </c>
      <c r="B6" s="5" t="n">
        <f aca="false">Services!$E$24</f>
        <v>137445</v>
      </c>
    </row>
    <row r="7" customFormat="false" ht="15" hidden="false" customHeight="false" outlineLevel="0" collapsed="false">
      <c r="A7" s="6" t="s">
        <v>7</v>
      </c>
      <c r="B7" s="7" t="n">
        <f aca="false">Services!$E$25</f>
        <v>1119195</v>
      </c>
      <c r="C7" s="8"/>
    </row>
    <row r="8" customFormat="false" ht="15" hidden="false" customHeight="false" outlineLevel="0" collapsed="false">
      <c r="A8" s="4" t="s">
        <v>8</v>
      </c>
      <c r="B8" s="5" t="n">
        <f aca="false">Licenses!E5</f>
        <v>241200</v>
      </c>
      <c r="C8" s="5" t="n">
        <f aca="false">Licenses!D5</f>
        <v>4824</v>
      </c>
    </row>
    <row r="9" customFormat="false" ht="15" hidden="false" customHeight="false" outlineLevel="0" collapsed="false">
      <c r="A9" s="6" t="s">
        <v>9</v>
      </c>
      <c r="B9" s="7" t="n">
        <f aca="false">B5+B8</f>
        <v>1222950</v>
      </c>
      <c r="C9" s="8"/>
    </row>
    <row r="10" customFormat="false" ht="15" hidden="false" customHeight="false" outlineLevel="0" collapsed="false">
      <c r="A10" s="4" t="s">
        <v>10</v>
      </c>
      <c r="B10" s="5" t="n">
        <f aca="false">Licenses!E6</f>
        <v>295200</v>
      </c>
      <c r="C10" s="5" t="n">
        <f aca="false">Licenses!D6</f>
        <v>5904</v>
      </c>
    </row>
    <row r="11" customFormat="false" ht="15" hidden="false" customHeight="false" outlineLevel="0" collapsed="false">
      <c r="A11" s="4" t="s">
        <v>11</v>
      </c>
      <c r="B11" s="9" t="n">
        <f aca="false">SUM(Services!C5:C20)</f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4"/>
    <col collapsed="false" customWidth="true" hidden="false" outlineLevel="0" max="3" min="3" style="0" width="42"/>
  </cols>
  <sheetData>
    <row r="1" customFormat="false" ht="16.15" hidden="false" customHeight="false" outlineLevel="0" collapsed="false">
      <c r="A1" s="1" t="s">
        <v>12</v>
      </c>
    </row>
    <row r="2" customFormat="false" ht="15" hidden="false" customHeight="false" outlineLevel="0" collapsed="false">
      <c r="A2" s="2" t="s">
        <v>13</v>
      </c>
    </row>
    <row r="4" customFormat="false" ht="15" hidden="false" customHeight="false" outlineLevel="0" collapsed="false">
      <c r="A4" s="3" t="s">
        <v>2</v>
      </c>
      <c r="B4" s="3" t="s">
        <v>14</v>
      </c>
      <c r="C4" s="3" t="s">
        <v>15</v>
      </c>
    </row>
    <row r="5" customFormat="false" ht="15" hidden="false" customHeight="false" outlineLevel="0" collapsed="false">
      <c r="A5" s="4" t="s">
        <v>16</v>
      </c>
      <c r="B5" s="10" t="n">
        <v>7500</v>
      </c>
      <c r="C5" s="4" t="s">
        <v>17</v>
      </c>
    </row>
    <row r="6" customFormat="false" ht="15" hidden="false" customHeight="false" outlineLevel="0" collapsed="false">
      <c r="A6" s="4" t="s">
        <v>18</v>
      </c>
      <c r="B6" s="10" t="n">
        <v>6000</v>
      </c>
      <c r="C6" s="4" t="s">
        <v>19</v>
      </c>
    </row>
    <row r="7" customFormat="false" ht="15" hidden="false" customHeight="false" outlineLevel="0" collapsed="false">
      <c r="A7" s="4" t="s">
        <v>20</v>
      </c>
      <c r="B7" s="10" t="n">
        <v>6500</v>
      </c>
      <c r="C7" s="4" t="s">
        <v>19</v>
      </c>
    </row>
    <row r="8" customFormat="false" ht="15" hidden="false" customHeight="false" outlineLevel="0" collapsed="false">
      <c r="A8" s="4" t="s">
        <v>21</v>
      </c>
      <c r="B8" s="11" t="n">
        <v>0.1</v>
      </c>
      <c r="C8" s="4" t="s">
        <v>22</v>
      </c>
    </row>
    <row r="9" customFormat="false" ht="15" hidden="false" customHeight="false" outlineLevel="0" collapsed="false">
      <c r="A9" s="4" t="s">
        <v>6</v>
      </c>
      <c r="B9" s="11" t="n">
        <v>0.14</v>
      </c>
      <c r="C9" s="4" t="s">
        <v>23</v>
      </c>
    </row>
    <row r="10" customFormat="false" ht="15" hidden="false" customHeight="false" outlineLevel="0" collapsed="false">
      <c r="A10" s="4" t="s">
        <v>24</v>
      </c>
      <c r="B10" s="12" t="n">
        <v>50</v>
      </c>
      <c r="C10" s="4" t="s">
        <v>25</v>
      </c>
    </row>
    <row r="11" customFormat="false" ht="15" hidden="false" customHeight="false" outlineLevel="0" collapsed="false">
      <c r="A11" s="4" t="s">
        <v>26</v>
      </c>
      <c r="B11" s="10" t="n">
        <v>30</v>
      </c>
      <c r="C11" s="4" t="s">
        <v>27</v>
      </c>
    </row>
    <row r="12" customFormat="false" ht="15" hidden="false" customHeight="false" outlineLevel="0" collapsed="false">
      <c r="A12" s="4" t="s">
        <v>28</v>
      </c>
      <c r="B12" s="12" t="n">
        <v>13.4</v>
      </c>
      <c r="C12" s="4" t="s">
        <v>29</v>
      </c>
    </row>
    <row r="13" customFormat="false" ht="15" hidden="false" customHeight="false" outlineLevel="0" collapsed="false">
      <c r="A13" s="4" t="s">
        <v>30</v>
      </c>
      <c r="B13" s="12" t="n">
        <v>16.4</v>
      </c>
      <c r="C13" s="4" t="s">
        <v>31</v>
      </c>
    </row>
    <row r="14" customFormat="false" ht="15" hidden="false" customHeight="false" outlineLevel="0" collapsed="false">
      <c r="A14" s="4" t="s">
        <v>32</v>
      </c>
      <c r="B14" s="12" t="n">
        <v>7.25</v>
      </c>
      <c r="C14" s="4" t="s">
        <v>33</v>
      </c>
    </row>
    <row r="15" customFormat="false" ht="15" hidden="false" customHeight="false" outlineLevel="0" collapsed="false">
      <c r="A15" s="4" t="s">
        <v>34</v>
      </c>
      <c r="B15" s="12" t="n">
        <v>2.9</v>
      </c>
      <c r="C15" s="4" t="s">
        <v>35</v>
      </c>
    </row>
    <row r="16" customFormat="false" ht="15" hidden="false" customHeight="false" outlineLevel="0" collapsed="false">
      <c r="A16" s="4" t="s">
        <v>36</v>
      </c>
      <c r="B16" s="10" t="n">
        <v>12</v>
      </c>
      <c r="C16" s="4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2" min="2" style="0" width="16"/>
    <col collapsed="false" customWidth="true" hidden="false" outlineLevel="0" max="5" min="3" style="0" width="15"/>
  </cols>
  <sheetData>
    <row r="1" customFormat="false" ht="16.15" hidden="false" customHeight="false" outlineLevel="0" collapsed="false">
      <c r="A1" s="1" t="s">
        <v>37</v>
      </c>
    </row>
    <row r="2" customFormat="false" ht="15" hidden="false" customHeight="false" outlineLevel="0" collapsed="false">
      <c r="A2" s="2" t="s">
        <v>38</v>
      </c>
    </row>
    <row r="4" customFormat="false" ht="15" hidden="false" customHeight="false" outlineLevel="0" collapsed="false">
      <c r="A4" s="3" t="s">
        <v>39</v>
      </c>
      <c r="B4" s="3" t="s">
        <v>40</v>
      </c>
      <c r="C4" s="3" t="s">
        <v>41</v>
      </c>
      <c r="D4" s="3" t="s">
        <v>42</v>
      </c>
      <c r="E4" s="3" t="s">
        <v>43</v>
      </c>
    </row>
    <row r="5" customFormat="false" ht="15" hidden="false" customHeight="false" outlineLevel="0" collapsed="false">
      <c r="A5" s="4" t="s">
        <v>44</v>
      </c>
      <c r="B5" s="4" t="s">
        <v>45</v>
      </c>
      <c r="C5" s="13" t="n">
        <v>22</v>
      </c>
      <c r="D5" s="14" t="n">
        <f aca="false">IF(B5="Project Manager",Assumptions!$B$5,IF(B5="Technical",Assumptions!$B$7,Assumptions!$B$6))</f>
        <v>7500</v>
      </c>
      <c r="E5" s="5" t="n">
        <f aca="false">C5*D5</f>
        <v>165000</v>
      </c>
    </row>
    <row r="6" customFormat="false" ht="15" hidden="false" customHeight="false" outlineLevel="0" collapsed="false">
      <c r="A6" s="4" t="s">
        <v>46</v>
      </c>
      <c r="B6" s="4" t="s">
        <v>47</v>
      </c>
      <c r="C6" s="13" t="n">
        <v>18</v>
      </c>
      <c r="D6" s="14" t="n">
        <f aca="false">IF(B6="Project Manager",Assumptions!$B$5,IF(B6="Technical",Assumptions!$B$7,Assumptions!$B$6))</f>
        <v>6000</v>
      </c>
      <c r="E6" s="5" t="n">
        <f aca="false">C6*D6</f>
        <v>108000</v>
      </c>
    </row>
    <row r="7" customFormat="false" ht="15" hidden="false" customHeight="false" outlineLevel="0" collapsed="false">
      <c r="A7" s="4" t="s">
        <v>48</v>
      </c>
      <c r="B7" s="4" t="s">
        <v>47</v>
      </c>
      <c r="C7" s="13" t="n">
        <v>8</v>
      </c>
      <c r="D7" s="14" t="n">
        <f aca="false">IF(B7="Project Manager",Assumptions!$B$5,IF(B7="Technical",Assumptions!$B$7,Assumptions!$B$6))</f>
        <v>6000</v>
      </c>
      <c r="E7" s="5" t="n">
        <f aca="false">C7*D7</f>
        <v>48000</v>
      </c>
    </row>
    <row r="8" customFormat="false" ht="15" hidden="false" customHeight="false" outlineLevel="0" collapsed="false">
      <c r="A8" s="4" t="s">
        <v>49</v>
      </c>
      <c r="B8" s="4" t="s">
        <v>47</v>
      </c>
      <c r="C8" s="13" t="n">
        <v>8</v>
      </c>
      <c r="D8" s="14" t="n">
        <f aca="false">IF(B8="Project Manager",Assumptions!$B$5,IF(B8="Technical",Assumptions!$B$7,Assumptions!$B$6))</f>
        <v>6000</v>
      </c>
      <c r="E8" s="5" t="n">
        <f aca="false">C8*D8</f>
        <v>48000</v>
      </c>
    </row>
    <row r="9" customFormat="false" ht="15" hidden="false" customHeight="false" outlineLevel="0" collapsed="false">
      <c r="A9" s="4" t="s">
        <v>50</v>
      </c>
      <c r="B9" s="4" t="s">
        <v>47</v>
      </c>
      <c r="C9" s="13" t="n">
        <v>8</v>
      </c>
      <c r="D9" s="14" t="n">
        <f aca="false">IF(B9="Project Manager",Assumptions!$B$5,IF(B9="Technical",Assumptions!$B$7,Assumptions!$B$6))</f>
        <v>6000</v>
      </c>
      <c r="E9" s="5" t="n">
        <f aca="false">C9*D9</f>
        <v>48000</v>
      </c>
    </row>
    <row r="10" customFormat="false" ht="15" hidden="false" customHeight="false" outlineLevel="0" collapsed="false">
      <c r="A10" s="4" t="s">
        <v>51</v>
      </c>
      <c r="B10" s="4" t="s">
        <v>47</v>
      </c>
      <c r="C10" s="13" t="n">
        <v>6</v>
      </c>
      <c r="D10" s="14" t="n">
        <f aca="false">IF(B10="Project Manager",Assumptions!$B$5,IF(B10="Technical",Assumptions!$B$7,Assumptions!$B$6))</f>
        <v>6000</v>
      </c>
      <c r="E10" s="5" t="n">
        <f aca="false">C10*D10</f>
        <v>36000</v>
      </c>
    </row>
    <row r="11" customFormat="false" ht="15" hidden="false" customHeight="false" outlineLevel="0" collapsed="false">
      <c r="A11" s="4" t="s">
        <v>52</v>
      </c>
      <c r="B11" s="4" t="s">
        <v>47</v>
      </c>
      <c r="C11" s="13" t="n">
        <v>5</v>
      </c>
      <c r="D11" s="14" t="n">
        <f aca="false">IF(B11="Project Manager",Assumptions!$B$5,IF(B11="Technical",Assumptions!$B$7,Assumptions!$B$6))</f>
        <v>6000</v>
      </c>
      <c r="E11" s="5" t="n">
        <f aca="false">C11*D11</f>
        <v>30000</v>
      </c>
    </row>
    <row r="12" customFormat="false" ht="15" hidden="false" customHeight="false" outlineLevel="0" collapsed="false">
      <c r="A12" s="4" t="s">
        <v>53</v>
      </c>
      <c r="B12" s="4" t="s">
        <v>47</v>
      </c>
      <c r="C12" s="13" t="n">
        <v>3</v>
      </c>
      <c r="D12" s="14" t="n">
        <f aca="false">IF(B12="Project Manager",Assumptions!$B$5,IF(B12="Technical",Assumptions!$B$7,Assumptions!$B$6))</f>
        <v>6000</v>
      </c>
      <c r="E12" s="5" t="n">
        <f aca="false">C12*D12</f>
        <v>18000</v>
      </c>
    </row>
    <row r="13" customFormat="false" ht="15" hidden="false" customHeight="false" outlineLevel="0" collapsed="false">
      <c r="A13" s="4" t="s">
        <v>54</v>
      </c>
      <c r="B13" s="4" t="s">
        <v>47</v>
      </c>
      <c r="C13" s="13" t="n">
        <v>4</v>
      </c>
      <c r="D13" s="14" t="n">
        <f aca="false">IF(B13="Project Manager",Assumptions!$B$5,IF(B13="Technical",Assumptions!$B$7,Assumptions!$B$6))</f>
        <v>6000</v>
      </c>
      <c r="E13" s="5" t="n">
        <f aca="false">C13*D13</f>
        <v>24000</v>
      </c>
    </row>
    <row r="14" customFormat="false" ht="15" hidden="false" customHeight="false" outlineLevel="0" collapsed="false">
      <c r="A14" s="4" t="s">
        <v>55</v>
      </c>
      <c r="B14" s="4" t="s">
        <v>47</v>
      </c>
      <c r="C14" s="13" t="n">
        <v>3</v>
      </c>
      <c r="D14" s="14" t="n">
        <f aca="false">IF(B14="Project Manager",Assumptions!$B$5,IF(B14="Technical",Assumptions!$B$7,Assumptions!$B$6))</f>
        <v>6000</v>
      </c>
      <c r="E14" s="5" t="n">
        <f aca="false">C14*D14</f>
        <v>18000</v>
      </c>
    </row>
    <row r="15" customFormat="false" ht="15" hidden="false" customHeight="false" outlineLevel="0" collapsed="false">
      <c r="A15" s="4" t="s">
        <v>56</v>
      </c>
      <c r="B15" s="4" t="s">
        <v>47</v>
      </c>
      <c r="C15" s="13" t="n">
        <v>10</v>
      </c>
      <c r="D15" s="14" t="n">
        <f aca="false">IF(B15="Project Manager",Assumptions!$B$5,IF(B15="Technical",Assumptions!$B$7,Assumptions!$B$6))</f>
        <v>6000</v>
      </c>
      <c r="E15" s="5" t="n">
        <f aca="false">C15*D15</f>
        <v>60000</v>
      </c>
    </row>
    <row r="16" customFormat="false" ht="15" hidden="false" customHeight="false" outlineLevel="0" collapsed="false">
      <c r="A16" s="4" t="s">
        <v>57</v>
      </c>
      <c r="B16" s="4" t="s">
        <v>58</v>
      </c>
      <c r="C16" s="13" t="n">
        <v>15</v>
      </c>
      <c r="D16" s="14" t="n">
        <f aca="false">IF(B16="Project Manager",Assumptions!$B$5,IF(B16="Technical",Assumptions!$B$7,Assumptions!$B$6))</f>
        <v>6500</v>
      </c>
      <c r="E16" s="5" t="n">
        <f aca="false">C16*D16</f>
        <v>97500</v>
      </c>
    </row>
    <row r="17" customFormat="false" ht="15" hidden="false" customHeight="false" outlineLevel="0" collapsed="false">
      <c r="A17" s="4" t="s">
        <v>59</v>
      </c>
      <c r="B17" s="4" t="s">
        <v>47</v>
      </c>
      <c r="C17" s="13" t="n">
        <v>10</v>
      </c>
      <c r="D17" s="14" t="n">
        <f aca="false">IF(B17="Project Manager",Assumptions!$B$5,IF(B17="Technical",Assumptions!$B$7,Assumptions!$B$6))</f>
        <v>6000</v>
      </c>
      <c r="E17" s="5" t="n">
        <f aca="false">C17*D17</f>
        <v>60000</v>
      </c>
    </row>
    <row r="18" customFormat="false" ht="15" hidden="false" customHeight="false" outlineLevel="0" collapsed="false">
      <c r="A18" s="4" t="s">
        <v>60</v>
      </c>
      <c r="B18" s="4" t="s">
        <v>47</v>
      </c>
      <c r="C18" s="13" t="n">
        <v>10</v>
      </c>
      <c r="D18" s="14" t="n">
        <f aca="false">IF(B18="Project Manager",Assumptions!$B$5,IF(B18="Technical",Assumptions!$B$7,Assumptions!$B$6))</f>
        <v>6000</v>
      </c>
      <c r="E18" s="5" t="n">
        <f aca="false">C18*D18</f>
        <v>60000</v>
      </c>
    </row>
    <row r="19" customFormat="false" ht="15" hidden="false" customHeight="false" outlineLevel="0" collapsed="false">
      <c r="A19" s="4" t="s">
        <v>61</v>
      </c>
      <c r="B19" s="4" t="s">
        <v>47</v>
      </c>
      <c r="C19" s="13" t="n">
        <v>4</v>
      </c>
      <c r="D19" s="14" t="n">
        <f aca="false">IF(B19="Project Manager",Assumptions!$B$5,IF(B19="Technical",Assumptions!$B$7,Assumptions!$B$6))</f>
        <v>6000</v>
      </c>
      <c r="E19" s="5" t="n">
        <f aca="false">C19*D19</f>
        <v>24000</v>
      </c>
    </row>
    <row r="20" customFormat="false" ht="15" hidden="false" customHeight="false" outlineLevel="0" collapsed="false">
      <c r="A20" s="4" t="s">
        <v>62</v>
      </c>
      <c r="B20" s="4" t="s">
        <v>47</v>
      </c>
      <c r="C20" s="13" t="n">
        <v>8</v>
      </c>
      <c r="D20" s="14" t="n">
        <f aca="false">IF(B20="Project Manager",Assumptions!$B$5,IF(B20="Technical",Assumptions!$B$7,Assumptions!$B$6))</f>
        <v>6000</v>
      </c>
      <c r="E20" s="5" t="n">
        <f aca="false">C20*D20</f>
        <v>48000</v>
      </c>
    </row>
    <row r="21" customFormat="false" ht="15" hidden="false" customHeight="false" outlineLevel="0" collapsed="false">
      <c r="A21" s="6" t="s">
        <v>63</v>
      </c>
      <c r="B21" s="8"/>
      <c r="C21" s="15" t="n">
        <f aca="false">SUM(C5:C20)</f>
        <v>142</v>
      </c>
      <c r="D21" s="8"/>
      <c r="E21" s="7" t="n">
        <f aca="false">SUM(E5:E20)</f>
        <v>892500</v>
      </c>
    </row>
    <row r="22" customFormat="false" ht="15" hidden="false" customHeight="false" outlineLevel="0" collapsed="false">
      <c r="A22" s="6" t="s">
        <v>21</v>
      </c>
      <c r="B22" s="8"/>
      <c r="C22" s="8"/>
      <c r="D22" s="8"/>
      <c r="E22" s="7" t="n">
        <f aca="false">E21*Assumptions!$B$8</f>
        <v>89250</v>
      </c>
    </row>
    <row r="23" customFormat="false" ht="15" hidden="false" customHeight="false" outlineLevel="0" collapsed="false">
      <c r="A23" s="6" t="s">
        <v>64</v>
      </c>
      <c r="B23" s="8"/>
      <c r="C23" s="8"/>
      <c r="D23" s="8"/>
      <c r="E23" s="7" t="n">
        <f aca="false">E21+E22</f>
        <v>981750</v>
      </c>
    </row>
    <row r="24" customFormat="false" ht="15" hidden="false" customHeight="false" outlineLevel="0" collapsed="false">
      <c r="A24" s="6" t="s">
        <v>65</v>
      </c>
      <c r="B24" s="8"/>
      <c r="C24" s="8"/>
      <c r="D24" s="8"/>
      <c r="E24" s="7" t="n">
        <f aca="false">E23*Assumptions!$B$9</f>
        <v>137445</v>
      </c>
    </row>
    <row r="25" customFormat="false" ht="15" hidden="false" customHeight="false" outlineLevel="0" collapsed="false">
      <c r="A25" s="6" t="s">
        <v>66</v>
      </c>
      <c r="B25" s="8"/>
      <c r="C25" s="8"/>
      <c r="D25" s="8"/>
      <c r="E25" s="7" t="n">
        <f aca="false">E23+E24</f>
        <v>1119195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5" min="2" style="0" width="15"/>
    <col collapsed="false" customWidth="true" hidden="false" outlineLevel="0" max="6" min="6" style="0" width="40"/>
  </cols>
  <sheetData>
    <row r="1" customFormat="false" ht="16.15" hidden="false" customHeight="false" outlineLevel="0" collapsed="false">
      <c r="A1" s="1" t="s">
        <v>67</v>
      </c>
    </row>
    <row r="2" customFormat="false" ht="15" hidden="false" customHeight="false" outlineLevel="0" collapsed="false">
      <c r="A2" s="2" t="s">
        <v>68</v>
      </c>
    </row>
    <row r="4" customFormat="false" ht="15" hidden="false" customHeight="false" outlineLevel="0" collapsed="false">
      <c r="A4" s="3" t="s">
        <v>69</v>
      </c>
      <c r="B4" s="3" t="s">
        <v>70</v>
      </c>
      <c r="C4" s="3" t="s">
        <v>26</v>
      </c>
      <c r="D4" s="3" t="s">
        <v>71</v>
      </c>
      <c r="E4" s="3" t="s">
        <v>72</v>
      </c>
      <c r="F4" s="3" t="s">
        <v>73</v>
      </c>
    </row>
    <row r="5" customFormat="false" ht="15" hidden="false" customHeight="false" outlineLevel="0" collapsed="false">
      <c r="A5" s="4" t="s">
        <v>74</v>
      </c>
      <c r="B5" s="5" t="n">
        <f aca="false">Assumptions!$B$12</f>
        <v>13.4</v>
      </c>
      <c r="C5" s="14" t="n">
        <f aca="false">Assumptions!$B$11</f>
        <v>30</v>
      </c>
      <c r="D5" s="5" t="n">
        <f aca="false">B5*C5*Assumptions!$B$16</f>
        <v>4824</v>
      </c>
      <c r="E5" s="5" t="n">
        <f aca="false">D5*Assumptions!$B$10</f>
        <v>241200</v>
      </c>
      <c r="F5" s="4" t="s">
        <v>75</v>
      </c>
    </row>
    <row r="6" customFormat="false" ht="15" hidden="false" customHeight="false" outlineLevel="0" collapsed="false">
      <c r="A6" s="4" t="s">
        <v>76</v>
      </c>
      <c r="B6" s="5" t="n">
        <f aca="false">Assumptions!$B$13</f>
        <v>16.4</v>
      </c>
      <c r="C6" s="14" t="n">
        <f aca="false">Assumptions!$B$11</f>
        <v>30</v>
      </c>
      <c r="D6" s="5" t="n">
        <f aca="false">B6*C6*Assumptions!$B$16</f>
        <v>5904</v>
      </c>
      <c r="E6" s="5" t="n">
        <f aca="false">D6*Assumptions!$B$10</f>
        <v>295200</v>
      </c>
      <c r="F6" s="4" t="s">
        <v>77</v>
      </c>
    </row>
    <row r="7" customFormat="false" ht="15" hidden="false" customHeight="false" outlineLevel="0" collapsed="false">
      <c r="A7" s="4" t="s">
        <v>78</v>
      </c>
      <c r="B7" s="5" t="n">
        <f aca="false">Assumptions!$B$14</f>
        <v>7.25</v>
      </c>
      <c r="C7" s="14" t="n">
        <f aca="false">Assumptions!$B$11</f>
        <v>30</v>
      </c>
      <c r="D7" s="5" t="n">
        <f aca="false">B7*C7*Assumptions!$B$16</f>
        <v>2610</v>
      </c>
      <c r="E7" s="5" t="n">
        <f aca="false">D7*Assumptions!$B$10</f>
        <v>130500</v>
      </c>
      <c r="F7" s="4" t="s">
        <v>79</v>
      </c>
    </row>
    <row r="8" customFormat="false" ht="15" hidden="false" customHeight="false" outlineLevel="0" collapsed="false">
      <c r="A8" s="4" t="s">
        <v>80</v>
      </c>
      <c r="B8" s="5" t="n">
        <f aca="false">Assumptions!$B$15</f>
        <v>2.9</v>
      </c>
      <c r="C8" s="14" t="n">
        <f aca="false">0</f>
        <v>0</v>
      </c>
      <c r="D8" s="5" t="n">
        <f aca="false">B8*C8*Assumptions!$B$16</f>
        <v>0</v>
      </c>
      <c r="E8" s="5" t="n">
        <f aca="false">D8*Assumptions!$B$10</f>
        <v>0</v>
      </c>
      <c r="F8" s="4" t="s">
        <v>81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5" min="2" style="0" width="18"/>
  </cols>
  <sheetData>
    <row r="1" customFormat="false" ht="16.15" hidden="false" customHeight="false" outlineLevel="0" collapsed="false">
      <c r="A1" s="1" t="s">
        <v>82</v>
      </c>
    </row>
    <row r="2" customFormat="false" ht="15" hidden="false" customHeight="false" outlineLevel="0" collapsed="false">
      <c r="A2" s="2" t="s">
        <v>83</v>
      </c>
    </row>
    <row r="4" customFormat="false" ht="23.85" hidden="false" customHeight="false" outlineLevel="0" collapsed="false">
      <c r="A4" s="3" t="s">
        <v>84</v>
      </c>
      <c r="B4" s="3" t="s">
        <v>85</v>
      </c>
      <c r="C4" s="3" t="s">
        <v>86</v>
      </c>
      <c r="D4" s="3" t="s">
        <v>87</v>
      </c>
      <c r="E4" s="3" t="s">
        <v>88</v>
      </c>
    </row>
    <row r="5" customFormat="false" ht="15" hidden="false" customHeight="false" outlineLevel="0" collapsed="false">
      <c r="A5" s="4" t="s">
        <v>89</v>
      </c>
      <c r="B5" s="4" t="s">
        <v>90</v>
      </c>
      <c r="C5" s="11" t="n">
        <v>0.2</v>
      </c>
      <c r="D5" s="5" t="n">
        <f aca="false">C5*Services!$E$23</f>
        <v>196350</v>
      </c>
      <c r="E5" s="5" t="n">
        <f aca="false">D5*(1+Assumptions!$B$9)</f>
        <v>223839</v>
      </c>
    </row>
    <row r="6" customFormat="false" ht="15" hidden="false" customHeight="false" outlineLevel="0" collapsed="false">
      <c r="A6" s="4" t="s">
        <v>91</v>
      </c>
      <c r="B6" s="4" t="s">
        <v>92</v>
      </c>
      <c r="C6" s="11" t="n">
        <v>0.15</v>
      </c>
      <c r="D6" s="5" t="n">
        <f aca="false">C6*Services!$E$23</f>
        <v>147262.5</v>
      </c>
      <c r="E6" s="5" t="n">
        <f aca="false">D6*(1+Assumptions!$B$9)</f>
        <v>167879.25</v>
      </c>
    </row>
    <row r="7" customFormat="false" ht="15" hidden="false" customHeight="false" outlineLevel="0" collapsed="false">
      <c r="A7" s="4" t="s">
        <v>93</v>
      </c>
      <c r="B7" s="4" t="s">
        <v>94</v>
      </c>
      <c r="C7" s="11" t="n">
        <v>0.15</v>
      </c>
      <c r="D7" s="5" t="n">
        <f aca="false">C7*Services!$E$23</f>
        <v>147262.5</v>
      </c>
      <c r="E7" s="5" t="n">
        <f aca="false">D7*(1+Assumptions!$B$9)</f>
        <v>167879.25</v>
      </c>
    </row>
    <row r="8" customFormat="false" ht="15" hidden="false" customHeight="false" outlineLevel="0" collapsed="false">
      <c r="A8" s="4" t="s">
        <v>95</v>
      </c>
      <c r="B8" s="4" t="s">
        <v>96</v>
      </c>
      <c r="C8" s="11" t="n">
        <v>0.2</v>
      </c>
      <c r="D8" s="5" t="n">
        <f aca="false">C8*Services!$E$23</f>
        <v>196350</v>
      </c>
      <c r="E8" s="5" t="n">
        <f aca="false">D8*(1+Assumptions!$B$9)</f>
        <v>223839</v>
      </c>
    </row>
    <row r="9" customFormat="false" ht="15" hidden="false" customHeight="false" outlineLevel="0" collapsed="false">
      <c r="A9" s="4" t="s">
        <v>97</v>
      </c>
      <c r="B9" s="4" t="s">
        <v>98</v>
      </c>
      <c r="C9" s="11" t="n">
        <v>0.15</v>
      </c>
      <c r="D9" s="5" t="n">
        <f aca="false">C9*Services!$E$23</f>
        <v>147262.5</v>
      </c>
      <c r="E9" s="5" t="n">
        <f aca="false">D9*(1+Assumptions!$B$9)</f>
        <v>167879.25</v>
      </c>
    </row>
    <row r="10" customFormat="false" ht="15" hidden="false" customHeight="false" outlineLevel="0" collapsed="false">
      <c r="A10" s="4" t="s">
        <v>99</v>
      </c>
      <c r="B10" s="4" t="s">
        <v>100</v>
      </c>
      <c r="C10" s="11" t="n">
        <v>0.1</v>
      </c>
      <c r="D10" s="5" t="n">
        <f aca="false">C10*Services!$E$23</f>
        <v>98175</v>
      </c>
      <c r="E10" s="5" t="n">
        <f aca="false">D10*(1+Assumptions!$B$9)</f>
        <v>111919.5</v>
      </c>
    </row>
    <row r="11" customFormat="false" ht="15" hidden="false" customHeight="false" outlineLevel="0" collapsed="false">
      <c r="A11" s="4" t="s">
        <v>101</v>
      </c>
      <c r="B11" s="4" t="s">
        <v>102</v>
      </c>
      <c r="C11" s="11" t="n">
        <v>0.05</v>
      </c>
      <c r="D11" s="5" t="n">
        <f aca="false">C11*Services!$E$23</f>
        <v>49087.5</v>
      </c>
      <c r="E11" s="5" t="n">
        <f aca="false">D11*(1+Assumptions!$B$9)</f>
        <v>55959.75</v>
      </c>
    </row>
    <row r="12" customFormat="false" ht="15" hidden="false" customHeight="false" outlineLevel="0" collapsed="false">
      <c r="A12" s="6" t="s">
        <v>103</v>
      </c>
      <c r="B12" s="8"/>
      <c r="C12" s="16" t="n">
        <f aca="false">SUM(C5:C11)</f>
        <v>1</v>
      </c>
      <c r="D12" s="7" t="n">
        <f aca="false">SUM(D5:D11)</f>
        <v>981750</v>
      </c>
      <c r="E12" s="7" t="n">
        <f aca="false">SUM(E5:E11)</f>
        <v>1119195</v>
      </c>
    </row>
    <row r="13" customFormat="false" ht="15" hidden="false" customHeight="false" outlineLevel="0" collapsed="false">
      <c r="A13" s="4" t="s">
        <v>104</v>
      </c>
      <c r="C13" s="17" t="str">
        <f aca="false">IF(ABS(C12-1)&lt;0.0001,"OK","Check")</f>
        <v>OK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2026-10-25T10:43:48Z</dcterms:created>
  <dc:creator>openpyxl</dc:creator>
  <dc:description/>
  <dc:language>en-US</dc:language>
  <cp:lastModifiedBy/>
  <dcterms:modified xsi:type="dcterms:W3CDTF">2026-10-25T10:43:48Z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