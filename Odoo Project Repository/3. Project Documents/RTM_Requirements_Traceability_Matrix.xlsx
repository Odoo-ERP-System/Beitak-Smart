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Fit-Gap Summary" sheetId="3" state="visible" r:id="rId3"/>
    <sheet xmlns:r="http://schemas.openxmlformats.org/officeDocument/2006/relationships" name="Pain Point Coverage" sheetId="4" state="visible" r:id="rId4"/>
    <sheet xmlns:r="http://schemas.openxmlformats.org/officeDocument/2006/relationships" name="Customization Register" sheetId="5" state="visible" r:id="rId5"/>
    <sheet xmlns:r="http://schemas.openxmlformats.org/officeDocument/2006/relationships" name="Workaround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5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bottom style="thin">
        <color rgb="00D0D7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 wrapText="1"/>
    </xf>
    <xf numFmtId="0" fontId="5" fillId="3" borderId="0" pivotButton="0" quotePrefix="0" xfId="0"/>
    <xf numFmtId="164" fontId="5" fillId="3" borderId="0" pivotButton="0" quotePrefix="0" xfId="0"/>
    <xf numFmtId="165" fontId="5" fillId="0" borderId="0" pivotButton="0" quotePrefix="0" xfId="0"/>
    <xf numFmtId="166" fontId="4" fillId="0" borderId="1" applyAlignment="1" pivotButton="0" quotePrefix="0" xfId="0">
      <alignment vertical="top"/>
    </xf>
    <xf numFmtId="0" fontId="0" fillId="3" borderId="0" pivotButton="0" quotePrefix="0" xfId="0"/>
    <xf numFmtId="166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TM'!A1" TargetMode="External" Id="rId1"/><Relationship Type="http://schemas.openxmlformats.org/officeDocument/2006/relationships/hyperlink" Target="#'Fit-Gap Summary'!A1" TargetMode="External" Id="rId2"/><Relationship Type="http://schemas.openxmlformats.org/officeDocument/2006/relationships/hyperlink" Target="#'Pain Point Coverage'!A1" TargetMode="External" Id="rId3"/><Relationship Type="http://schemas.openxmlformats.org/officeDocument/2006/relationships/hyperlink" Target="#'Customization Register'!A1" TargetMode="External" Id="rId4"/><Relationship Type="http://schemas.openxmlformats.org/officeDocument/2006/relationships/hyperlink" Target="#'Workaround Register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40" customWidth="1" min="3" max="3"/>
  </cols>
  <sheetData>
    <row r="1">
      <c r="A1" s="1" t="inlineStr">
        <is>
          <t>Requirements Traceability Matrix (RTM)</t>
        </is>
      </c>
    </row>
    <row r="2">
      <c r="A2" s="2" t="inlineStr">
        <is>
          <t>Smart Core - Beitak Smart Odoo ERP Implementation | Version 1.0 | 25 Oct 2026</t>
        </is>
      </c>
    </row>
    <row r="4">
      <c r="A4" s="3" t="inlineStr">
        <is>
          <t>Sheet</t>
        </is>
      </c>
      <c r="B4" s="3" t="inlineStr">
        <is>
          <t>Content</t>
        </is>
      </c>
      <c r="C4" s="3" t="inlineStr">
        <is>
          <t>Instructor requirement</t>
        </is>
      </c>
    </row>
    <row r="5">
      <c r="A5" s="4" t="inlineStr">
        <is>
          <t>RTM</t>
        </is>
      </c>
      <c r="B5" s="5" t="inlineStr">
        <is>
          <t>70 requirements traced end to end</t>
        </is>
      </c>
      <c r="C5" s="5" t="inlineStr">
        <is>
          <t>RTM</t>
        </is>
      </c>
    </row>
    <row r="6">
      <c r="A6" s="4" t="inlineStr">
        <is>
          <t>Fit-Gap Summary</t>
        </is>
      </c>
      <c r="B6" s="5" t="inlineStr">
        <is>
          <t>Standard / Workaround / Customization by module</t>
        </is>
      </c>
      <c r="C6" s="5" t="inlineStr">
        <is>
          <t>Execute modules 70 / 10-15 / 15-20</t>
        </is>
      </c>
    </row>
    <row r="7">
      <c r="A7" s="4" t="inlineStr">
        <is>
          <t>Pain Point Coverage</t>
        </is>
      </c>
      <c r="B7" s="5" t="inlineStr">
        <is>
          <t>Pain points vs requirements</t>
        </is>
      </c>
      <c r="C7" s="5" t="inlineStr">
        <is>
          <t>BRD traceability</t>
        </is>
      </c>
    </row>
    <row r="8">
      <c r="A8" s="4" t="inlineStr">
        <is>
          <t>Customization Register</t>
        </is>
      </c>
      <c r="B8" s="5" t="inlineStr">
        <is>
          <t>Customizations and effort</t>
        </is>
      </c>
      <c r="C8" s="5" t="inlineStr">
        <is>
          <t>Input to SSD and FPD</t>
        </is>
      </c>
    </row>
    <row r="9">
      <c r="A9" s="4" t="inlineStr">
        <is>
          <t>Workaround Register</t>
        </is>
      </c>
      <c r="B9" s="5" t="inlineStr">
        <is>
          <t>Workarounds</t>
        </is>
      </c>
      <c r="C9" s="5" t="inlineStr">
        <is>
          <t>Input to SSD and training</t>
        </is>
      </c>
    </row>
    <row r="11">
      <c r="A11" s="4" t="inlineStr">
        <is>
          <t>Assumptions</t>
        </is>
      </c>
    </row>
    <row r="12">
      <c r="A12" s="5" t="inlineStr">
        <is>
          <t>Odoo version</t>
        </is>
      </c>
      <c r="B12" s="6" t="inlineStr">
        <is>
          <t>Files target Odoo 18/19 field names (type=Goods + is_storable). On Odoo 17 replace 'type'+'is_storable' with 'detailed_type' = product.</t>
        </is>
      </c>
    </row>
    <row r="13">
      <c r="A13" s="5" t="inlineStr">
        <is>
          <t>Database</t>
        </is>
      </c>
      <c r="B13" s="6" t="inlineStr">
        <is>
          <t>Designed for a NEW clean database with the Egypt fiscal localization. Importing into the old database will clash with existing account codes and products.</t>
        </is>
      </c>
    </row>
    <row r="14">
      <c r="A14" s="5" t="inlineStr">
        <is>
          <t>Exchange rate</t>
        </is>
      </c>
      <c r="B14" s="6" t="inlineStr">
        <is>
          <t>USD/EGP = 50.00 on 2027-01-01. Project assumption, not an official CBE rate.</t>
        </is>
      </c>
    </row>
    <row r="15">
      <c r="A15" s="5" t="inlineStr">
        <is>
          <t>Landed costs</t>
        </is>
      </c>
      <c r="B15" s="6" t="inlineStr">
        <is>
          <t>Cost of imported items = FOB price x 50 x 1.10 (about 10% for freight, duties, clearance and insurance). Assumption.</t>
        </is>
      </c>
    </row>
    <row r="16">
      <c r="A16" s="5" t="inlineStr">
        <is>
          <t>Sales prices</t>
        </is>
      </c>
      <c r="B16" s="6" t="inlineStr">
        <is>
          <t>Sales prices are VAT-exclusive. VAT 14% comes from the Egypt localization default taxes.</t>
        </is>
      </c>
    </row>
    <row r="17">
      <c r="A17" s="5" t="inlineStr">
        <is>
          <t>Costing</t>
        </is>
      </c>
      <c r="B17" s="6" t="inlineStr">
        <is>
          <t>AVCO + automated (perpetual) valuation on all stockable categories. Needed for Landed Costs.</t>
        </is>
      </c>
    </row>
    <row r="18">
      <c r="A18" s="5" t="inlineStr">
        <is>
          <t>Opening stock</t>
        </is>
      </c>
      <c r="B18" s="6" t="inlineStr">
        <is>
          <t>Stock is loaded through Physical Inventory with accounting date 2027-01-01. Its counterpart is account 190100 Opening Stock Clearing, which the opening journal entry closes to zero.</t>
        </is>
      </c>
    </row>
    <row r="19">
      <c r="A19" s="5" t="inlineStr">
        <is>
          <t>Taxes</t>
        </is>
      </c>
      <c r="B19" s="6" t="inlineStr">
        <is>
          <t>VAT 14% and withholding tax 1% / 2% / 3% (team decision). Rates, categories and thresholds must be reviewed by a tax specialist before go-live.</t>
        </is>
      </c>
    </row>
    <row r="20">
      <c r="A20" s="5" t="inlineStr">
        <is>
          <t>Personal data</t>
        </is>
      </c>
      <c r="B20" s="6" t="inlineStr">
        <is>
          <t>All names, emails, phones, tax IDs and bank numbers are fictional placeholders (.example domains).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8" customWidth="1" min="3" max="3"/>
    <col width="10" customWidth="1" min="4" max="4"/>
    <col width="14" customWidth="1" min="5" max="5"/>
    <col width="15" customWidth="1" min="6" max="6"/>
    <col width="46" customWidth="1" min="7" max="7"/>
    <col width="10" customWidth="1" min="8" max="8"/>
    <col width="13" customWidth="1" min="9" max="9"/>
    <col width="14" customWidth="1" min="10" max="10"/>
    <col width="15" customWidth="1" min="11" max="11"/>
    <col width="9" customWidth="1" min="12" max="12"/>
  </cols>
  <sheetData>
    <row r="1">
      <c r="A1" s="7" t="inlineStr">
        <is>
          <t>Requirements Traceability Matrix</t>
        </is>
      </c>
    </row>
    <row r="2">
      <c r="A2" s="2" t="inlineStr">
        <is>
          <t>Baseline v1.0 25 Oct 2026 - for sign-off at M3. Each BRD requirement is traced to its Odoo solution, SSD section, import file, owner and UAT test case.</t>
        </is>
      </c>
    </row>
    <row r="4">
      <c r="A4" s="8" t="inlineStr">
        <is>
          <t>Req. ID</t>
        </is>
      </c>
      <c r="B4" s="8" t="inlineStr">
        <is>
          <t>Module</t>
        </is>
      </c>
      <c r="C4" s="8" t="inlineStr">
        <is>
          <t>Requirement</t>
        </is>
      </c>
      <c r="D4" s="8" t="inlineStr">
        <is>
          <t>Priority</t>
        </is>
      </c>
      <c r="E4" s="8" t="inlineStr">
        <is>
          <t>Source (pain point)</t>
        </is>
      </c>
      <c r="F4" s="8" t="inlineStr">
        <is>
          <t>Fit / Gap</t>
        </is>
      </c>
      <c r="G4" s="8" t="inlineStr">
        <is>
          <t>Odoo Solution</t>
        </is>
      </c>
      <c r="H4" s="8" t="inlineStr">
        <is>
          <t>SSD Ref.</t>
        </is>
      </c>
      <c r="I4" s="8" t="inlineStr">
        <is>
          <t>Import File</t>
        </is>
      </c>
      <c r="J4" s="8" t="inlineStr">
        <is>
          <t>Owner</t>
        </is>
      </c>
      <c r="K4" s="8" t="inlineStr">
        <is>
          <t>UAT Test Case</t>
        </is>
      </c>
      <c r="L4" s="8" t="inlineStr">
        <is>
          <t>Status</t>
        </is>
      </c>
    </row>
    <row r="5">
      <c r="A5" s="9" t="inlineStr">
        <is>
          <t>BR-CRM-01</t>
        </is>
      </c>
      <c r="B5" s="9" t="inlineStr">
        <is>
          <t>CRM</t>
        </is>
      </c>
      <c r="C5" s="10" t="inlineStr">
        <is>
          <t>Capture leads and opportunities from exhibitions, phone, WhatsApp and website in one pipeline (New &gt; Qualified &gt; Proposition &gt; Won / Lost)</t>
        </is>
      </c>
      <c r="D5" s="9" t="inlineStr">
        <is>
          <t>Must</t>
        </is>
      </c>
      <c r="E5" s="9" t="inlineStr">
        <is>
          <t>PP-08</t>
        </is>
      </c>
      <c r="F5" s="9" t="inlineStr">
        <is>
          <t>Standard</t>
        </is>
      </c>
      <c r="G5" s="9" t="inlineStr">
        <is>
          <t>CRM pipeline, stages, lead sources (UTM)</t>
        </is>
      </c>
      <c r="H5" s="9" t="inlineStr">
        <is>
          <t>SSD 3.1</t>
        </is>
      </c>
      <c r="I5" s="9" t="inlineStr">
        <is>
          <t>26</t>
        </is>
      </c>
      <c r="J5" s="9" t="inlineStr">
        <is>
          <t>Noha Gamal</t>
        </is>
      </c>
      <c r="K5" s="9" t="inlineStr">
        <is>
          <t>TC-CRM-01</t>
        </is>
      </c>
      <c r="L5" s="9" t="inlineStr">
        <is>
          <t>Planned</t>
        </is>
      </c>
    </row>
    <row r="6">
      <c r="A6" s="9" t="inlineStr">
        <is>
          <t>BR-CRM-02</t>
        </is>
      </c>
      <c r="B6" s="9" t="inlineStr">
        <is>
          <t>CRM</t>
        </is>
      </c>
      <c r="C6" s="10" t="inlineStr">
        <is>
          <t>Assign opportunities to regional sales teams; managers see their team, reps see only their own</t>
        </is>
      </c>
      <c r="D6" s="9" t="inlineStr">
        <is>
          <t>Must</t>
        </is>
      </c>
      <c r="E6" s="9" t="inlineStr">
        <is>
          <t>PP-08, PP-14</t>
        </is>
      </c>
      <c r="F6" s="9" t="inlineStr">
        <is>
          <t>Standard</t>
        </is>
      </c>
      <c r="G6" s="9" t="inlineStr">
        <is>
          <t>Sales teams + access 'Own documents only'</t>
        </is>
      </c>
      <c r="H6" s="9" t="inlineStr">
        <is>
          <t>SSD 3.1</t>
        </is>
      </c>
      <c r="I6" s="9" t="inlineStr">
        <is>
          <t>11</t>
        </is>
      </c>
      <c r="J6" s="9" t="inlineStr">
        <is>
          <t>Noha Gamal</t>
        </is>
      </c>
      <c r="K6" s="9" t="inlineStr">
        <is>
          <t>TC-CRM-02</t>
        </is>
      </c>
      <c r="L6" s="9" t="inlineStr">
        <is>
          <t>Planned</t>
        </is>
      </c>
    </row>
    <row r="7">
      <c r="A7" s="9" t="inlineStr">
        <is>
          <t>BR-CRM-03</t>
        </is>
      </c>
      <c r="B7" s="9" t="inlineStr">
        <is>
          <t>CRM</t>
        </is>
      </c>
      <c r="C7" s="10" t="inlineStr">
        <is>
          <t>Schedule follow-up activities and log calls and meetings per opportunity</t>
        </is>
      </c>
      <c r="D7" s="9" t="inlineStr">
        <is>
          <t>Should</t>
        </is>
      </c>
      <c r="E7" s="9" t="inlineStr">
        <is>
          <t>PP-08</t>
        </is>
      </c>
      <c r="F7" s="9" t="inlineStr">
        <is>
          <t>Standard</t>
        </is>
      </c>
      <c r="G7" s="9" t="inlineStr">
        <is>
          <t>Activities and chatter</t>
        </is>
      </c>
      <c r="H7" s="9" t="inlineStr">
        <is>
          <t>SSD 3.1</t>
        </is>
      </c>
      <c r="I7" s="9" t="inlineStr">
        <is>
          <t>-</t>
        </is>
      </c>
      <c r="J7" s="9" t="inlineStr">
        <is>
          <t>Noha Gamal</t>
        </is>
      </c>
      <c r="K7" s="9" t="inlineStr">
        <is>
          <t>TC-CRM-03</t>
        </is>
      </c>
      <c r="L7" s="9" t="inlineStr">
        <is>
          <t>Planned</t>
        </is>
      </c>
    </row>
    <row r="8">
      <c r="A8" s="9" t="inlineStr">
        <is>
          <t>BR-CRM-04</t>
        </is>
      </c>
      <c r="B8" s="9" t="inlineStr">
        <is>
          <t>CRM</t>
        </is>
      </c>
      <c r="C8" s="9" t="inlineStr">
        <is>
          <t>Record lost reasons and analyse win / loss</t>
        </is>
      </c>
      <c r="D8" s="9" t="inlineStr">
        <is>
          <t>Should</t>
        </is>
      </c>
      <c r="E8" s="9" t="inlineStr">
        <is>
          <t>PP-08</t>
        </is>
      </c>
      <c r="F8" s="9" t="inlineStr">
        <is>
          <t>Standard</t>
        </is>
      </c>
      <c r="G8" s="9" t="inlineStr">
        <is>
          <t>Lost reasons + pipeline analysis</t>
        </is>
      </c>
      <c r="H8" s="9" t="inlineStr">
        <is>
          <t>SSD 3.1</t>
        </is>
      </c>
      <c r="I8" s="9" t="inlineStr">
        <is>
          <t>-</t>
        </is>
      </c>
      <c r="J8" s="9" t="inlineStr">
        <is>
          <t>Noha Gamal</t>
        </is>
      </c>
      <c r="K8" s="9" t="inlineStr">
        <is>
          <t>TC-CRM-04</t>
        </is>
      </c>
      <c r="L8" s="9" t="inlineStr">
        <is>
          <t>Planned</t>
        </is>
      </c>
    </row>
    <row r="9">
      <c r="A9" s="9" t="inlineStr">
        <is>
          <t>BR-CRM-05</t>
        </is>
      </c>
      <c r="B9" s="9" t="inlineStr">
        <is>
          <t>CRM</t>
        </is>
      </c>
      <c r="C9" s="9" t="inlineStr">
        <is>
          <t>Monthly revenue target per salesperson with achievement %</t>
        </is>
      </c>
      <c r="D9" s="9" t="inlineStr">
        <is>
          <t>Should</t>
        </is>
      </c>
      <c r="E9" s="9" t="inlineStr">
        <is>
          <t>PP-09</t>
        </is>
      </c>
      <c r="F9" s="9" t="inlineStr">
        <is>
          <t>Customization</t>
        </is>
      </c>
      <c r="G9" s="9" t="inlineStr">
        <is>
          <t>Target field per salesperson + achievement report (Studio)</t>
        </is>
      </c>
      <c r="H9" s="9" t="inlineStr">
        <is>
          <t>SSD 3.1</t>
        </is>
      </c>
      <c r="I9" s="9" t="inlineStr">
        <is>
          <t>-</t>
        </is>
      </c>
      <c r="J9" s="9" t="inlineStr">
        <is>
          <t>Noha Gamal</t>
        </is>
      </c>
      <c r="K9" s="9" t="inlineStr">
        <is>
          <t>TC-CRM-05</t>
        </is>
      </c>
      <c r="L9" s="9" t="inlineStr">
        <is>
          <t>Planned</t>
        </is>
      </c>
    </row>
    <row r="10">
      <c r="A10" s="9" t="inlineStr">
        <is>
          <t>BR-SAL-01</t>
        </is>
      </c>
      <c r="B10" s="9" t="inlineStr">
        <is>
          <t>Sales</t>
        </is>
      </c>
      <c r="C10" s="10" t="inlineStr">
        <is>
          <t>Quotations and sales orders use customer price lists (retail, wholesale, distributors, key accounts) with quantity breaks</t>
        </is>
      </c>
      <c r="D10" s="9" t="inlineStr">
        <is>
          <t>Must</t>
        </is>
      </c>
      <c r="E10" s="9" t="inlineStr">
        <is>
          <t>PP-02</t>
        </is>
      </c>
      <c r="F10" s="9" t="inlineStr">
        <is>
          <t>Standard</t>
        </is>
      </c>
      <c r="G10" s="9" t="inlineStr">
        <is>
          <t>Price lists with advanced rules</t>
        </is>
      </c>
      <c r="H10" s="9" t="inlineStr">
        <is>
          <t>SSD 3.2</t>
        </is>
      </c>
      <c r="I10" s="9" t="inlineStr">
        <is>
          <t>10, 12</t>
        </is>
      </c>
      <c r="J10" s="9" t="inlineStr">
        <is>
          <t>Noha Gamal</t>
        </is>
      </c>
      <c r="K10" s="9" t="inlineStr">
        <is>
          <t>TC-SAL-01</t>
        </is>
      </c>
      <c r="L10" s="9" t="inlineStr">
        <is>
          <t>Planned</t>
        </is>
      </c>
    </row>
    <row r="11">
      <c r="A11" s="9" t="inlineStr">
        <is>
          <t>BR-SAL-02</t>
        </is>
      </c>
      <c r="B11" s="9" t="inlineStr">
        <is>
          <t>Sales</t>
        </is>
      </c>
      <c r="C11" s="10" t="inlineStr">
        <is>
          <t>When a list price changes, all price lists update automatically</t>
        </is>
      </c>
      <c r="D11" s="9" t="inlineStr">
        <is>
          <t>Must</t>
        </is>
      </c>
      <c r="E11" s="9" t="inlineStr">
        <is>
          <t>PP-02</t>
        </is>
      </c>
      <c r="F11" s="9" t="inlineStr">
        <is>
          <t>Standard</t>
        </is>
      </c>
      <c r="G11" s="9" t="inlineStr">
        <is>
          <t>Percentage rules based on list price</t>
        </is>
      </c>
      <c r="H11" s="9" t="inlineStr">
        <is>
          <t>SSD 3.2</t>
        </is>
      </c>
      <c r="I11" s="9" t="inlineStr">
        <is>
          <t>10</t>
        </is>
      </c>
      <c r="J11" s="9" t="inlineStr">
        <is>
          <t>Noha Gamal</t>
        </is>
      </c>
      <c r="K11" s="9" t="inlineStr">
        <is>
          <t>TC-SAL-02</t>
        </is>
      </c>
      <c r="L11" s="9" t="inlineStr">
        <is>
          <t>Planned</t>
        </is>
      </c>
    </row>
    <row r="12">
      <c r="A12" s="9" t="inlineStr">
        <is>
          <t>BR-SAL-03</t>
        </is>
      </c>
      <c r="B12" s="9" t="inlineStr">
        <is>
          <t>Sales</t>
        </is>
      </c>
      <c r="C12" s="10" t="inlineStr">
        <is>
          <t>Warn the user when a customer's exposure exceeds the credit limit</t>
        </is>
      </c>
      <c r="D12" s="9" t="inlineStr">
        <is>
          <t>Must</t>
        </is>
      </c>
      <c r="E12" s="9" t="inlineStr">
        <is>
          <t>PP-07</t>
        </is>
      </c>
      <c r="F12" s="9" t="inlineStr">
        <is>
          <t>Standard</t>
        </is>
      </c>
      <c r="G12" s="9" t="inlineStr">
        <is>
          <t>Sales Credit Limit (warning on order and invoice)</t>
        </is>
      </c>
      <c r="H12" s="9" t="inlineStr">
        <is>
          <t>SSD 3.2</t>
        </is>
      </c>
      <c r="I12" s="9" t="inlineStr">
        <is>
          <t>12</t>
        </is>
      </c>
      <c r="J12" s="9" t="inlineStr">
        <is>
          <t>Noha Gamal</t>
        </is>
      </c>
      <c r="K12" s="9" t="inlineStr">
        <is>
          <t>TC-SAL-03</t>
        </is>
      </c>
      <c r="L12" s="9" t="inlineStr">
        <is>
          <t>Planned</t>
        </is>
      </c>
    </row>
    <row r="13">
      <c r="A13" s="9" t="inlineStr">
        <is>
          <t>BR-SAL-04</t>
        </is>
      </c>
      <c r="B13" s="9" t="inlineStr">
        <is>
          <t>Sales</t>
        </is>
      </c>
      <c r="C13" s="10" t="inlineStr">
        <is>
          <t>Block confirmation of orders above credit limit unless the Finance Manager approves</t>
        </is>
      </c>
      <c r="D13" s="9" t="inlineStr">
        <is>
          <t>Should</t>
        </is>
      </c>
      <c r="E13" s="9" t="inlineStr">
        <is>
          <t>PP-07</t>
        </is>
      </c>
      <c r="F13" s="9" t="inlineStr">
        <is>
          <t>Customization</t>
        </is>
      </c>
      <c r="G13" s="10" t="inlineStr">
        <is>
          <t>Approval check on order confirmation (Studio approval rule / small module)</t>
        </is>
      </c>
      <c r="H13" s="9" t="inlineStr">
        <is>
          <t>SSD 3.2</t>
        </is>
      </c>
      <c r="I13" s="9" t="inlineStr">
        <is>
          <t>-</t>
        </is>
      </c>
      <c r="J13" s="9" t="inlineStr">
        <is>
          <t>Noha Gamal</t>
        </is>
      </c>
      <c r="K13" s="9" t="inlineStr">
        <is>
          <t>TC-SAL-04</t>
        </is>
      </c>
      <c r="L13" s="9" t="inlineStr">
        <is>
          <t>Planned</t>
        </is>
      </c>
    </row>
    <row r="14">
      <c r="A14" s="9" t="inlineStr">
        <is>
          <t>BR-SAL-05</t>
        </is>
      </c>
      <c r="B14" s="9" t="inlineStr">
        <is>
          <t>Sales</t>
        </is>
      </c>
      <c r="C14" s="9" t="inlineStr">
        <is>
          <t>Discounts above 10% require Sales Manager approval</t>
        </is>
      </c>
      <c r="D14" s="9" t="inlineStr">
        <is>
          <t>Should</t>
        </is>
      </c>
      <c r="E14" s="9" t="inlineStr">
        <is>
          <t>PP-02</t>
        </is>
      </c>
      <c r="F14" s="9" t="inlineStr">
        <is>
          <t>Customization</t>
        </is>
      </c>
      <c r="G14" s="9" t="inlineStr">
        <is>
          <t>Approval rule on discount (Studio)</t>
        </is>
      </c>
      <c r="H14" s="9" t="inlineStr">
        <is>
          <t>SSD 3.2</t>
        </is>
      </c>
      <c r="I14" s="9" t="inlineStr">
        <is>
          <t>-</t>
        </is>
      </c>
      <c r="J14" s="9" t="inlineStr">
        <is>
          <t>Noha Gamal</t>
        </is>
      </c>
      <c r="K14" s="9" t="inlineStr">
        <is>
          <t>TC-SAL-05</t>
        </is>
      </c>
      <c r="L14" s="9" t="inlineStr">
        <is>
          <t>Planned</t>
        </is>
      </c>
    </row>
    <row r="15">
      <c r="A15" s="9" t="inlineStr">
        <is>
          <t>BR-SAL-06</t>
        </is>
      </c>
      <c r="B15" s="9" t="inlineStr">
        <is>
          <t>Sales</t>
        </is>
      </c>
      <c r="C15" s="9" t="inlineStr">
        <is>
          <t>Invoice customers on delivered quantities only</t>
        </is>
      </c>
      <c r="D15" s="9" t="inlineStr">
        <is>
          <t>Must</t>
        </is>
      </c>
      <c r="E15" s="9" t="inlineStr">
        <is>
          <t>PP-10</t>
        </is>
      </c>
      <c r="F15" s="9" t="inlineStr">
        <is>
          <t>Standard</t>
        </is>
      </c>
      <c r="G15" s="9" t="inlineStr">
        <is>
          <t>Invoicing policy: delivered quantities</t>
        </is>
      </c>
      <c r="H15" s="9" t="inlineStr">
        <is>
          <t>SSD 3.2</t>
        </is>
      </c>
      <c r="I15" s="9" t="inlineStr">
        <is>
          <t>17</t>
        </is>
      </c>
      <c r="J15" s="9" t="inlineStr">
        <is>
          <t>Noha Gamal</t>
        </is>
      </c>
      <c r="K15" s="9" t="inlineStr">
        <is>
          <t>TC-SAL-06</t>
        </is>
      </c>
      <c r="L15" s="9" t="inlineStr">
        <is>
          <t>Planned</t>
        </is>
      </c>
    </row>
    <row r="16">
      <c r="A16" s="9" t="inlineStr">
        <is>
          <t>BR-SAL-07</t>
        </is>
      </c>
      <c r="B16" s="9" t="inlineStr">
        <is>
          <t>Sales</t>
        </is>
      </c>
      <c r="C16" s="9" t="inlineStr">
        <is>
          <t>Sell installation services together with appliances</t>
        </is>
      </c>
      <c r="D16" s="9" t="inlineStr">
        <is>
          <t>Could</t>
        </is>
      </c>
      <c r="E16" s="9" t="inlineStr">
        <is>
          <t>PP-09</t>
        </is>
      </c>
      <c r="F16" s="9" t="inlineStr">
        <is>
          <t>Standard</t>
        </is>
      </c>
      <c r="G16" s="9" t="inlineStr">
        <is>
          <t>Service products on sales orders</t>
        </is>
      </c>
      <c r="H16" s="9" t="inlineStr">
        <is>
          <t>SSD 3.2</t>
        </is>
      </c>
      <c r="I16" s="9" t="inlineStr">
        <is>
          <t>17</t>
        </is>
      </c>
      <c r="J16" s="9" t="inlineStr">
        <is>
          <t>Noha Gamal</t>
        </is>
      </c>
      <c r="K16" s="9" t="inlineStr">
        <is>
          <t>TC-SAL-07</t>
        </is>
      </c>
      <c r="L16" s="9" t="inlineStr">
        <is>
          <t>Planned</t>
        </is>
      </c>
    </row>
    <row r="17">
      <c r="A17" s="9" t="inlineStr">
        <is>
          <t>BR-SAL-08</t>
        </is>
      </c>
      <c r="B17" s="9" t="inlineStr">
        <is>
          <t>Sales</t>
        </is>
      </c>
      <c r="C17" s="10" t="inlineStr">
        <is>
          <t>Bilingual (Arabic / English) tax invoice showing tax registration numbers</t>
        </is>
      </c>
      <c r="D17" s="9" t="inlineStr">
        <is>
          <t>Must</t>
        </is>
      </c>
      <c r="E17" s="9" t="inlineStr">
        <is>
          <t>Compliance</t>
        </is>
      </c>
      <c r="F17" s="9" t="inlineStr">
        <is>
          <t>Customization</t>
        </is>
      </c>
      <c r="G17" s="9" t="inlineStr">
        <is>
          <t>Customized invoice report (QWeb)</t>
        </is>
      </c>
      <c r="H17" s="9" t="inlineStr">
        <is>
          <t>SSD 3.2</t>
        </is>
      </c>
      <c r="I17" s="9" t="inlineStr">
        <is>
          <t>-</t>
        </is>
      </c>
      <c r="J17" s="9" t="inlineStr">
        <is>
          <t>Noha Gamal</t>
        </is>
      </c>
      <c r="K17" s="9" t="inlineStr">
        <is>
          <t>TC-SAL-08</t>
        </is>
      </c>
      <c r="L17" s="9" t="inlineStr">
        <is>
          <t>Planned</t>
        </is>
      </c>
    </row>
    <row r="18">
      <c r="A18" s="9" t="inlineStr">
        <is>
          <t>BR-SAL-09</t>
        </is>
      </c>
      <c r="B18" s="9" t="inlineStr">
        <is>
          <t>Sales</t>
        </is>
      </c>
      <c r="C18" s="9" t="inlineStr">
        <is>
          <t>Gross margin per order line and product visible to managers</t>
        </is>
      </c>
      <c r="D18" s="9" t="inlineStr">
        <is>
          <t>Should</t>
        </is>
      </c>
      <c r="E18" s="9" t="inlineStr">
        <is>
          <t>PP-01, PP-09</t>
        </is>
      </c>
      <c r="F18" s="9" t="inlineStr">
        <is>
          <t>Standard</t>
        </is>
      </c>
      <c r="G18" s="9" t="inlineStr">
        <is>
          <t>Margins setting + sales analysis</t>
        </is>
      </c>
      <c r="H18" s="9" t="inlineStr">
        <is>
          <t>SSD 3.2</t>
        </is>
      </c>
      <c r="I18" s="9" t="inlineStr">
        <is>
          <t>-</t>
        </is>
      </c>
      <c r="J18" s="9" t="inlineStr">
        <is>
          <t>Noha Gamal</t>
        </is>
      </c>
      <c r="K18" s="9" t="inlineStr">
        <is>
          <t>TC-SAL-09</t>
        </is>
      </c>
      <c r="L18" s="9" t="inlineStr">
        <is>
          <t>Planned</t>
        </is>
      </c>
    </row>
    <row r="19">
      <c r="A19" s="9" t="inlineStr">
        <is>
          <t>BR-SAL-10</t>
        </is>
      </c>
      <c r="B19" s="9" t="inlineStr">
        <is>
          <t>Sales</t>
        </is>
      </c>
      <c r="C19" s="10" t="inlineStr">
        <is>
          <t>Sales commission report per salesperson based on collected invoices</t>
        </is>
      </c>
      <c r="D19" s="9" t="inlineStr">
        <is>
          <t>Could</t>
        </is>
      </c>
      <c r="E19" s="9" t="inlineStr">
        <is>
          <t>PP-09</t>
        </is>
      </c>
      <c r="F19" s="9" t="inlineStr">
        <is>
          <t>Customization</t>
        </is>
      </c>
      <c r="G19" s="9" t="inlineStr">
        <is>
          <t>Custom report (collected invoices x commission rate)</t>
        </is>
      </c>
      <c r="H19" s="9" t="inlineStr">
        <is>
          <t>SSD 3.2</t>
        </is>
      </c>
      <c r="I19" s="9" t="inlineStr">
        <is>
          <t>-</t>
        </is>
      </c>
      <c r="J19" s="9" t="inlineStr">
        <is>
          <t>Noha Gamal</t>
        </is>
      </c>
      <c r="K19" s="9" t="inlineStr">
        <is>
          <t>TC-SAL-10</t>
        </is>
      </c>
      <c r="L19" s="9" t="inlineStr">
        <is>
          <t>Planned</t>
        </is>
      </c>
    </row>
    <row r="20">
      <c r="A20" s="9" t="inlineStr">
        <is>
          <t>BR-POS-01</t>
        </is>
      </c>
      <c r="B20" s="9" t="inlineStr">
        <is>
          <t>POS</t>
        </is>
      </c>
      <c r="C20" s="10" t="inlineStr">
        <is>
          <t>Showroom sales through POS with barcode scanning, linked to stock and accounting</t>
        </is>
      </c>
      <c r="D20" s="9" t="inlineStr">
        <is>
          <t>Must</t>
        </is>
      </c>
      <c r="E20" s="9" t="inlineStr">
        <is>
          <t>PP-11</t>
        </is>
      </c>
      <c r="F20" s="9" t="inlineStr">
        <is>
          <t>Standard</t>
        </is>
      </c>
      <c r="G20" s="9" t="inlineStr">
        <is>
          <t>Point of Sale linked to CAW warehouse</t>
        </is>
      </c>
      <c r="H20" s="9" t="inlineStr">
        <is>
          <t>SSD 3.3</t>
        </is>
      </c>
      <c r="I20" s="9" t="inlineStr">
        <is>
          <t>16, 17</t>
        </is>
      </c>
      <c r="J20" s="9" t="inlineStr">
        <is>
          <t>Noha Gamal</t>
        </is>
      </c>
      <c r="K20" s="9" t="inlineStr">
        <is>
          <t>TC-POS-01</t>
        </is>
      </c>
      <c r="L20" s="9" t="inlineStr">
        <is>
          <t>Planned</t>
        </is>
      </c>
    </row>
    <row r="21">
      <c r="A21" s="9" t="inlineStr">
        <is>
          <t>BR-POS-02</t>
        </is>
      </c>
      <c r="B21" s="9" t="inlineStr">
        <is>
          <t>POS</t>
        </is>
      </c>
      <c r="C21" s="9" t="inlineStr">
        <is>
          <t>Payment by cash, card and customer account</t>
        </is>
      </c>
      <c r="D21" s="9" t="inlineStr">
        <is>
          <t>Must</t>
        </is>
      </c>
      <c r="E21" s="9" t="inlineStr">
        <is>
          <t>PP-11</t>
        </is>
      </c>
      <c r="F21" s="9" t="inlineStr">
        <is>
          <t>Standard</t>
        </is>
      </c>
      <c r="G21" s="9" t="inlineStr">
        <is>
          <t>POS payment methods (POSCS, NBEG, Customer Account)</t>
        </is>
      </c>
      <c r="H21" s="9" t="inlineStr">
        <is>
          <t>SSD 3.3</t>
        </is>
      </c>
      <c r="I21" s="9" t="inlineStr">
        <is>
          <t>02</t>
        </is>
      </c>
      <c r="J21" s="9" t="inlineStr">
        <is>
          <t>Noha Gamal</t>
        </is>
      </c>
      <c r="K21" s="9" t="inlineStr">
        <is>
          <t>TC-POS-02</t>
        </is>
      </c>
      <c r="L21" s="9" t="inlineStr">
        <is>
          <t>Planned</t>
        </is>
      </c>
    </row>
    <row r="22">
      <c r="A22" s="9" t="inlineStr">
        <is>
          <t>BR-POS-03</t>
        </is>
      </c>
      <c r="B22" s="9" t="inlineStr">
        <is>
          <t>POS</t>
        </is>
      </c>
      <c r="C22" s="9" t="inlineStr">
        <is>
          <t>Capture the serial number of each appliance sold in POS</t>
        </is>
      </c>
      <c r="D22" s="9" t="inlineStr">
        <is>
          <t>Must</t>
        </is>
      </c>
      <c r="E22" s="9" t="inlineStr">
        <is>
          <t>PP-06</t>
        </is>
      </c>
      <c r="F22" s="9" t="inlineStr">
        <is>
          <t>Standard</t>
        </is>
      </c>
      <c r="G22" s="9" t="inlineStr">
        <is>
          <t>Lot / serial selection in POS</t>
        </is>
      </c>
      <c r="H22" s="9" t="inlineStr">
        <is>
          <t>SSD 3.3</t>
        </is>
      </c>
      <c r="I22" s="9" t="inlineStr">
        <is>
          <t>23</t>
        </is>
      </c>
      <c r="J22" s="9" t="inlineStr">
        <is>
          <t>Noha Gamal</t>
        </is>
      </c>
      <c r="K22" s="9" t="inlineStr">
        <is>
          <t>TC-POS-03</t>
        </is>
      </c>
      <c r="L22" s="9" t="inlineStr">
        <is>
          <t>Planned</t>
        </is>
      </c>
    </row>
    <row r="23">
      <c r="A23" s="9" t="inlineStr">
        <is>
          <t>BR-POS-04</t>
        </is>
      </c>
      <c r="B23" s="9" t="inlineStr">
        <is>
          <t>POS</t>
        </is>
      </c>
      <c r="C23" s="10" t="inlineStr">
        <is>
          <t>Daily session closing with cash count and posting of differences</t>
        </is>
      </c>
      <c r="D23" s="9" t="inlineStr">
        <is>
          <t>Must</t>
        </is>
      </c>
      <c r="E23" s="9" t="inlineStr">
        <is>
          <t>PP-11</t>
        </is>
      </c>
      <c r="F23" s="9" t="inlineStr">
        <is>
          <t>Standard</t>
        </is>
      </c>
      <c r="G23" s="9" t="inlineStr">
        <is>
          <t>POS session closing, cash difference accounts</t>
        </is>
      </c>
      <c r="H23" s="9" t="inlineStr">
        <is>
          <t>SSD 3.3</t>
        </is>
      </c>
      <c r="I23" s="9" t="inlineStr">
        <is>
          <t>-</t>
        </is>
      </c>
      <c r="J23" s="9" t="inlineStr">
        <is>
          <t>Noha Gamal</t>
        </is>
      </c>
      <c r="K23" s="9" t="inlineStr">
        <is>
          <t>TC-POS-04</t>
        </is>
      </c>
      <c r="L23" s="9" t="inlineStr">
        <is>
          <t>Planned</t>
        </is>
      </c>
    </row>
    <row r="24">
      <c r="A24" s="9" t="inlineStr">
        <is>
          <t>BR-POS-05</t>
        </is>
      </c>
      <c r="B24" s="9" t="inlineStr">
        <is>
          <t>POS</t>
        </is>
      </c>
      <c r="C24" s="9" t="inlineStr">
        <is>
          <t>Refunds only by the Showroom Supervisor</t>
        </is>
      </c>
      <c r="D24" s="9" t="inlineStr">
        <is>
          <t>Should</t>
        </is>
      </c>
      <c r="E24" s="9" t="inlineStr">
        <is>
          <t>PP-14</t>
        </is>
      </c>
      <c r="F24" s="9" t="inlineStr">
        <is>
          <t>Workaround</t>
        </is>
      </c>
      <c r="G24" s="10" t="inlineStr">
        <is>
          <t>Refunds done by POS Administrator; cashiers use employee login</t>
        </is>
      </c>
      <c r="H24" s="9" t="inlineStr">
        <is>
          <t>SSD 3.3</t>
        </is>
      </c>
      <c r="I24" s="9" t="inlineStr">
        <is>
          <t>-</t>
        </is>
      </c>
      <c r="J24" s="9" t="inlineStr">
        <is>
          <t>Noha Gamal</t>
        </is>
      </c>
      <c r="K24" s="9" t="inlineStr">
        <is>
          <t>TC-POS-05</t>
        </is>
      </c>
      <c r="L24" s="9" t="inlineStr">
        <is>
          <t>Planned</t>
        </is>
      </c>
    </row>
    <row r="25">
      <c r="A25" s="9" t="inlineStr">
        <is>
          <t>BR-PUR-01</t>
        </is>
      </c>
      <c r="B25" s="9" t="inlineStr">
        <is>
          <t>Purchase</t>
        </is>
      </c>
      <c r="C25" s="10" t="inlineStr">
        <is>
          <t>RFQs and POs with vendor prices and lead times; overseas vendors in USD</t>
        </is>
      </c>
      <c r="D25" s="9" t="inlineStr">
        <is>
          <t>Must</t>
        </is>
      </c>
      <c r="E25" s="9" t="inlineStr">
        <is>
          <t>PP-03</t>
        </is>
      </c>
      <c r="F25" s="9" t="inlineStr">
        <is>
          <t>Standard</t>
        </is>
      </c>
      <c r="G25" s="9" t="inlineStr">
        <is>
          <t>Vendor price lists, multi-currency</t>
        </is>
      </c>
      <c r="H25" s="9" t="inlineStr">
        <is>
          <t>SSD 3.4</t>
        </is>
      </c>
      <c r="I25" s="9" t="inlineStr">
        <is>
          <t>13, 17</t>
        </is>
      </c>
      <c r="J25" s="9" t="inlineStr">
        <is>
          <t>Omar ElSayed</t>
        </is>
      </c>
      <c r="K25" s="9" t="inlineStr">
        <is>
          <t>TC-PUR-01</t>
        </is>
      </c>
      <c r="L25" s="9" t="inlineStr">
        <is>
          <t>Planned</t>
        </is>
      </c>
    </row>
    <row r="26">
      <c r="A26" s="9" t="inlineStr">
        <is>
          <t>BR-PUR-02</t>
        </is>
      </c>
      <c r="B26" s="9" t="inlineStr">
        <is>
          <t>Purchase</t>
        </is>
      </c>
      <c r="C26" s="9" t="inlineStr">
        <is>
          <t>POs above 250,000 EGP need Procurement Manager approval</t>
        </is>
      </c>
      <c r="D26" s="9" t="inlineStr">
        <is>
          <t>Must</t>
        </is>
      </c>
      <c r="E26" s="9" t="inlineStr">
        <is>
          <t>PP-12</t>
        </is>
      </c>
      <c r="F26" s="9" t="inlineStr">
        <is>
          <t>Standard</t>
        </is>
      </c>
      <c r="G26" s="9" t="inlineStr">
        <is>
          <t>Purchase Order Approval (two-step validation)</t>
        </is>
      </c>
      <c r="H26" s="9" t="inlineStr">
        <is>
          <t>SSD 3.4</t>
        </is>
      </c>
      <c r="I26" s="9" t="inlineStr">
        <is>
          <t>-</t>
        </is>
      </c>
      <c r="J26" s="9" t="inlineStr">
        <is>
          <t>Omar ElSayed</t>
        </is>
      </c>
      <c r="K26" s="9" t="inlineStr">
        <is>
          <t>TC-PUR-02</t>
        </is>
      </c>
      <c r="L26" s="9" t="inlineStr">
        <is>
          <t>Planned</t>
        </is>
      </c>
    </row>
    <row r="27">
      <c r="A27" s="9" t="inlineStr">
        <is>
          <t>BR-PUR-03</t>
        </is>
      </c>
      <c r="B27" s="9" t="inlineStr">
        <is>
          <t>Purchase</t>
        </is>
      </c>
      <c r="C27" s="9" t="inlineStr">
        <is>
          <t>All overseas (USD) POs approved by the General Manager</t>
        </is>
      </c>
      <c r="D27" s="9" t="inlineStr">
        <is>
          <t>Should</t>
        </is>
      </c>
      <c r="E27" s="9" t="inlineStr">
        <is>
          <t>PP-12</t>
        </is>
      </c>
      <c r="F27" s="9" t="inlineStr">
        <is>
          <t>Workaround</t>
        </is>
      </c>
      <c r="G27" s="9" t="inlineStr">
        <is>
          <t>GM confirms overseas POs with Purchase Administrator rights</t>
        </is>
      </c>
      <c r="H27" s="9" t="inlineStr">
        <is>
          <t>SSD 3.4</t>
        </is>
      </c>
      <c r="I27" s="9" t="inlineStr">
        <is>
          <t>-</t>
        </is>
      </c>
      <c r="J27" s="9" t="inlineStr">
        <is>
          <t>Omar ElSayed</t>
        </is>
      </c>
      <c r="K27" s="9" t="inlineStr">
        <is>
          <t>TC-PUR-03</t>
        </is>
      </c>
      <c r="L27" s="9" t="inlineStr">
        <is>
          <t>Planned</t>
        </is>
      </c>
    </row>
    <row r="28">
      <c r="A28" s="9" t="inlineStr">
        <is>
          <t>BR-PUR-04</t>
        </is>
      </c>
      <c r="B28" s="9" t="inlineStr">
        <is>
          <t>Purchase</t>
        </is>
      </c>
      <c r="C28" s="10" t="inlineStr">
        <is>
          <t>Vendor bills matched to received quantities (three-way match)</t>
        </is>
      </c>
      <c r="D28" s="9" t="inlineStr">
        <is>
          <t>Must</t>
        </is>
      </c>
      <c r="E28" s="9" t="inlineStr">
        <is>
          <t>PP-10</t>
        </is>
      </c>
      <c r="F28" s="9" t="inlineStr">
        <is>
          <t>Standard</t>
        </is>
      </c>
      <c r="G28" s="9" t="inlineStr">
        <is>
          <t>Bill control: received quantities</t>
        </is>
      </c>
      <c r="H28" s="9" t="inlineStr">
        <is>
          <t>SSD 3.4</t>
        </is>
      </c>
      <c r="I28" s="9" t="inlineStr">
        <is>
          <t>-</t>
        </is>
      </c>
      <c r="J28" s="9" t="inlineStr">
        <is>
          <t>Omar ElSayed</t>
        </is>
      </c>
      <c r="K28" s="9" t="inlineStr">
        <is>
          <t>TC-PUR-04</t>
        </is>
      </c>
      <c r="L28" s="9" t="inlineStr">
        <is>
          <t>Planned</t>
        </is>
      </c>
    </row>
    <row r="29">
      <c r="A29" s="9" t="inlineStr">
        <is>
          <t>BR-PUR-05</t>
        </is>
      </c>
      <c r="B29" s="9" t="inlineStr">
        <is>
          <t>Purchase</t>
        </is>
      </c>
      <c r="C29" s="10" t="inlineStr">
        <is>
          <t>Allocate freight, customs duties, clearance and insurance to the cost of imported items</t>
        </is>
      </c>
      <c r="D29" s="9" t="inlineStr">
        <is>
          <t>Must</t>
        </is>
      </c>
      <c r="E29" s="9" t="inlineStr">
        <is>
          <t>PP-01</t>
        </is>
      </c>
      <c r="F29" s="9" t="inlineStr">
        <is>
          <t>Standard</t>
        </is>
      </c>
      <c r="G29" s="10" t="inlineStr">
        <is>
          <t>Landed costs (4 landed-cost products, clearing accounts 1301xx)</t>
        </is>
      </c>
      <c r="H29" s="9" t="inlineStr">
        <is>
          <t>SSD 3.4</t>
        </is>
      </c>
      <c r="I29" s="9" t="inlineStr">
        <is>
          <t>17</t>
        </is>
      </c>
      <c r="J29" s="9" t="inlineStr">
        <is>
          <t>Omar ElSayed</t>
        </is>
      </c>
      <c r="K29" s="9" t="inlineStr">
        <is>
          <t>TC-PUR-05</t>
        </is>
      </c>
      <c r="L29" s="9" t="inlineStr">
        <is>
          <t>Planned</t>
        </is>
      </c>
    </row>
    <row r="30">
      <c r="A30" s="9" t="inlineStr">
        <is>
          <t>BR-PUR-06</t>
        </is>
      </c>
      <c r="B30" s="9" t="inlineStr">
        <is>
          <t>Purchase</t>
        </is>
      </c>
      <c r="C30" s="10" t="inlineStr">
        <is>
          <t>Track container number, bill of lading and ETA on import POs and receipts</t>
        </is>
      </c>
      <c r="D30" s="9" t="inlineStr">
        <is>
          <t>Should</t>
        </is>
      </c>
      <c r="E30" s="9" t="inlineStr">
        <is>
          <t>PP-01, PP-03</t>
        </is>
      </c>
      <c r="F30" s="9" t="inlineStr">
        <is>
          <t>Customization</t>
        </is>
      </c>
      <c r="G30" s="9" t="inlineStr">
        <is>
          <t>Custom fields on PO and receipt (Studio)</t>
        </is>
      </c>
      <c r="H30" s="9" t="inlineStr">
        <is>
          <t>SSD 3.4</t>
        </is>
      </c>
      <c r="I30" s="9" t="inlineStr">
        <is>
          <t>-</t>
        </is>
      </c>
      <c r="J30" s="9" t="inlineStr">
        <is>
          <t>Omar ElSayed</t>
        </is>
      </c>
      <c r="K30" s="9" t="inlineStr">
        <is>
          <t>TC-PUR-06</t>
        </is>
      </c>
      <c r="L30" s="9" t="inlineStr">
        <is>
          <t>Planned</t>
        </is>
      </c>
    </row>
    <row r="31">
      <c r="A31" s="9" t="inlineStr">
        <is>
          <t>BR-PUR-07</t>
        </is>
      </c>
      <c r="B31" s="9" t="inlineStr">
        <is>
          <t>Purchase</t>
        </is>
      </c>
      <c r="C31" s="9" t="inlineStr">
        <is>
          <t>Purchase analysis by vendor, product and currency</t>
        </is>
      </c>
      <c r="D31" s="9" t="inlineStr">
        <is>
          <t>Should</t>
        </is>
      </c>
      <c r="E31" s="9" t="inlineStr">
        <is>
          <t>PP-03</t>
        </is>
      </c>
      <c r="F31" s="9" t="inlineStr">
        <is>
          <t>Standard</t>
        </is>
      </c>
      <c r="G31" s="9" t="inlineStr">
        <is>
          <t>Purchase analysis report</t>
        </is>
      </c>
      <c r="H31" s="9" t="inlineStr">
        <is>
          <t>SSD 3.4</t>
        </is>
      </c>
      <c r="I31" s="9" t="inlineStr">
        <is>
          <t>-</t>
        </is>
      </c>
      <c r="J31" s="9" t="inlineStr">
        <is>
          <t>Omar ElSayed</t>
        </is>
      </c>
      <c r="K31" s="9" t="inlineStr">
        <is>
          <t>TC-PUR-07</t>
        </is>
      </c>
      <c r="L31" s="9" t="inlineStr">
        <is>
          <t>Planned</t>
        </is>
      </c>
    </row>
    <row r="32">
      <c r="A32" s="9" t="inlineStr">
        <is>
          <t>BR-PUR-08</t>
        </is>
      </c>
      <c r="B32" s="9" t="inlineStr">
        <is>
          <t>Purchase</t>
        </is>
      </c>
      <c r="C32" s="9" t="inlineStr">
        <is>
          <t>Automatic RFQs from min / max reordering rules</t>
        </is>
      </c>
      <c r="D32" s="9" t="inlineStr">
        <is>
          <t>Must</t>
        </is>
      </c>
      <c r="E32" s="9" t="inlineStr">
        <is>
          <t>PP-03</t>
        </is>
      </c>
      <c r="F32" s="9" t="inlineStr">
        <is>
          <t>Standard</t>
        </is>
      </c>
      <c r="G32" s="9" t="inlineStr">
        <is>
          <t>Reordering rules + Buy route</t>
        </is>
      </c>
      <c r="H32" s="9" t="inlineStr">
        <is>
          <t>SSD 3.4</t>
        </is>
      </c>
      <c r="I32" s="9" t="inlineStr">
        <is>
          <t>25</t>
        </is>
      </c>
      <c r="J32" s="9" t="inlineStr">
        <is>
          <t>Omar ElSayed</t>
        </is>
      </c>
      <c r="K32" s="9" t="inlineStr">
        <is>
          <t>TC-PUR-08</t>
        </is>
      </c>
      <c r="L32" s="9" t="inlineStr">
        <is>
          <t>Planned</t>
        </is>
      </c>
    </row>
    <row r="33">
      <c r="A33" s="9" t="inlineStr">
        <is>
          <t>BR-PUR-09</t>
        </is>
      </c>
      <c r="B33" s="9" t="inlineStr">
        <is>
          <t>Purchase</t>
        </is>
      </c>
      <c r="C33" s="10" t="inlineStr">
        <is>
          <t>Import shipment cost sheet: FOB, freight, duties, clearance and landed cost per unit per container</t>
        </is>
      </c>
      <c r="D33" s="9" t="inlineStr">
        <is>
          <t>Should</t>
        </is>
      </c>
      <c r="E33" s="9" t="inlineStr">
        <is>
          <t>PP-01</t>
        </is>
      </c>
      <c r="F33" s="9" t="inlineStr">
        <is>
          <t>Customization</t>
        </is>
      </c>
      <c r="G33" s="9" t="inlineStr">
        <is>
          <t>Custom report on landed costs</t>
        </is>
      </c>
      <c r="H33" s="9" t="inlineStr">
        <is>
          <t>SSD 3.4</t>
        </is>
      </c>
      <c r="I33" s="9" t="inlineStr">
        <is>
          <t>-</t>
        </is>
      </c>
      <c r="J33" s="9" t="inlineStr">
        <is>
          <t>Omar ElSayed</t>
        </is>
      </c>
      <c r="K33" s="9" t="inlineStr">
        <is>
          <t>TC-PUR-09</t>
        </is>
      </c>
      <c r="L33" s="9" t="inlineStr">
        <is>
          <t>Planned</t>
        </is>
      </c>
    </row>
    <row r="34">
      <c r="A34" s="9" t="inlineStr">
        <is>
          <t>BR-INV-01</t>
        </is>
      </c>
      <c r="B34" s="9" t="inlineStr">
        <is>
          <t>Inventory</t>
        </is>
      </c>
      <c r="C34" s="10" t="inlineStr">
        <is>
          <t>Five warehouses with storage locations (floors, raw materials store, finished goods, showroom)</t>
        </is>
      </c>
      <c r="D34" s="9" t="inlineStr">
        <is>
          <t>Must</t>
        </is>
      </c>
      <c r="E34" s="9" t="inlineStr">
        <is>
          <t>PP-04</t>
        </is>
      </c>
      <c r="F34" s="9" t="inlineStr">
        <is>
          <t>Standard</t>
        </is>
      </c>
      <c r="G34" s="9" t="inlineStr">
        <is>
          <t>Warehouses and storage locations</t>
        </is>
      </c>
      <c r="H34" s="9" t="inlineStr">
        <is>
          <t>SSD 3.5</t>
        </is>
      </c>
      <c r="I34" s="9" t="inlineStr">
        <is>
          <t>21, 22</t>
        </is>
      </c>
      <c r="J34" s="9" t="inlineStr">
        <is>
          <t>Mayada Salah</t>
        </is>
      </c>
      <c r="K34" s="9" t="inlineStr">
        <is>
          <t>TC-INV-01</t>
        </is>
      </c>
      <c r="L34" s="9" t="inlineStr">
        <is>
          <t>Planned</t>
        </is>
      </c>
    </row>
    <row r="35">
      <c r="A35" s="9" t="inlineStr">
        <is>
          <t>BR-INV-02</t>
        </is>
      </c>
      <c r="B35" s="9" t="inlineStr">
        <is>
          <t>Inventory</t>
        </is>
      </c>
      <c r="C35" s="10" t="inlineStr">
        <is>
          <t>Real-time stock by product, location and warehouse visible to sales</t>
        </is>
      </c>
      <c r="D35" s="9" t="inlineStr">
        <is>
          <t>Must</t>
        </is>
      </c>
      <c r="E35" s="9" t="inlineStr">
        <is>
          <t>PP-04</t>
        </is>
      </c>
      <c r="F35" s="9" t="inlineStr">
        <is>
          <t>Standard</t>
        </is>
      </c>
      <c r="G35" s="9" t="inlineStr">
        <is>
          <t>Stock reports, forecasted quantities on order lines</t>
        </is>
      </c>
      <c r="H35" s="9" t="inlineStr">
        <is>
          <t>SSD 3.5</t>
        </is>
      </c>
      <c r="I35" s="9" t="inlineStr">
        <is>
          <t>24</t>
        </is>
      </c>
      <c r="J35" s="9" t="inlineStr">
        <is>
          <t>Mayada Salah</t>
        </is>
      </c>
      <c r="K35" s="9" t="inlineStr">
        <is>
          <t>TC-INV-02</t>
        </is>
      </c>
      <c r="L35" s="9" t="inlineStr">
        <is>
          <t>Planned</t>
        </is>
      </c>
    </row>
    <row r="36">
      <c r="A36" s="9" t="inlineStr">
        <is>
          <t>BR-INV-03</t>
        </is>
      </c>
      <c r="B36" s="9" t="inlineStr">
        <is>
          <t>Inventory</t>
        </is>
      </c>
      <c r="C36" s="10" t="inlineStr">
        <is>
          <t>Cairo receipts in three steps with quality control; branches in one step</t>
        </is>
      </c>
      <c r="D36" s="9" t="inlineStr">
        <is>
          <t>Must</t>
        </is>
      </c>
      <c r="E36" s="9" t="inlineStr">
        <is>
          <t>PP-04</t>
        </is>
      </c>
      <c r="F36" s="9" t="inlineStr">
        <is>
          <t>Standard</t>
        </is>
      </c>
      <c r="G36" s="9" t="inlineStr">
        <is>
          <t>Multi-step routes</t>
        </is>
      </c>
      <c r="H36" s="9" t="inlineStr">
        <is>
          <t>SSD 3.5</t>
        </is>
      </c>
      <c r="I36" s="9" t="inlineStr">
        <is>
          <t>21</t>
        </is>
      </c>
      <c r="J36" s="9" t="inlineStr">
        <is>
          <t>Mayada Salah</t>
        </is>
      </c>
      <c r="K36" s="9" t="inlineStr">
        <is>
          <t>TC-INV-03</t>
        </is>
      </c>
      <c r="L36" s="9" t="inlineStr">
        <is>
          <t>Planned</t>
        </is>
      </c>
    </row>
    <row r="37">
      <c r="A37" s="9" t="inlineStr">
        <is>
          <t>BR-INV-04</t>
        </is>
      </c>
      <c r="B37" s="9" t="inlineStr">
        <is>
          <t>Inventory</t>
        </is>
      </c>
      <c r="C37" s="9" t="inlineStr">
        <is>
          <t>Deliveries: Cairo pick-pack-ship, branches pick-ship</t>
        </is>
      </c>
      <c r="D37" s="9" t="inlineStr">
        <is>
          <t>Should</t>
        </is>
      </c>
      <c r="E37" s="9" t="inlineStr">
        <is>
          <t>PP-04</t>
        </is>
      </c>
      <c r="F37" s="9" t="inlineStr">
        <is>
          <t>Standard</t>
        </is>
      </c>
      <c r="G37" s="9" t="inlineStr">
        <is>
          <t>Multi-step routes</t>
        </is>
      </c>
      <c r="H37" s="9" t="inlineStr">
        <is>
          <t>SSD 3.5</t>
        </is>
      </c>
      <c r="I37" s="9" t="inlineStr">
        <is>
          <t>21</t>
        </is>
      </c>
      <c r="J37" s="9" t="inlineStr">
        <is>
          <t>Mayada Salah</t>
        </is>
      </c>
      <c r="K37" s="9" t="inlineStr">
        <is>
          <t>TC-INV-04</t>
        </is>
      </c>
      <c r="L37" s="9" t="inlineStr">
        <is>
          <t>Planned</t>
        </is>
      </c>
    </row>
    <row r="38">
      <c r="A38" s="9" t="inlineStr">
        <is>
          <t>BR-INV-05</t>
        </is>
      </c>
      <c r="B38" s="9" t="inlineStr">
        <is>
          <t>Inventory</t>
        </is>
      </c>
      <c r="C38" s="10" t="inlineStr">
        <is>
          <t>Branches replenished from Cairo through inter-warehouse transfers</t>
        </is>
      </c>
      <c r="D38" s="9" t="inlineStr">
        <is>
          <t>Must</t>
        </is>
      </c>
      <c r="E38" s="9" t="inlineStr">
        <is>
          <t>PP-03, PP-04</t>
        </is>
      </c>
      <c r="F38" s="9" t="inlineStr">
        <is>
          <t>Standard</t>
        </is>
      </c>
      <c r="G38" s="9" t="inlineStr">
        <is>
          <t>Resupply routes between warehouses</t>
        </is>
      </c>
      <c r="H38" s="9" t="inlineStr">
        <is>
          <t>SSD 3.5</t>
        </is>
      </c>
      <c r="I38" s="9" t="inlineStr">
        <is>
          <t>21</t>
        </is>
      </c>
      <c r="J38" s="9" t="inlineStr">
        <is>
          <t>Mayada Salah</t>
        </is>
      </c>
      <c r="K38" s="9" t="inlineStr">
        <is>
          <t>TC-INV-05</t>
        </is>
      </c>
      <c r="L38" s="9" t="inlineStr">
        <is>
          <t>Planned</t>
        </is>
      </c>
    </row>
    <row r="39">
      <c r="A39" s="9" t="inlineStr">
        <is>
          <t>BR-INV-06</t>
        </is>
      </c>
      <c r="B39" s="9" t="inlineStr">
        <is>
          <t>Inventory</t>
        </is>
      </c>
      <c r="C39" s="10" t="inlineStr">
        <is>
          <t>Serial-number tracking for all appliances from receipt to delivery and returns</t>
        </is>
      </c>
      <c r="D39" s="9" t="inlineStr">
        <is>
          <t>Must</t>
        </is>
      </c>
      <c r="E39" s="9" t="inlineStr">
        <is>
          <t>PP-06</t>
        </is>
      </c>
      <c r="F39" s="9" t="inlineStr">
        <is>
          <t>Standard</t>
        </is>
      </c>
      <c r="G39" s="9" t="inlineStr">
        <is>
          <t>Lots &amp; serial numbers</t>
        </is>
      </c>
      <c r="H39" s="9" t="inlineStr">
        <is>
          <t>SSD 3.5</t>
        </is>
      </c>
      <c r="I39" s="9" t="inlineStr">
        <is>
          <t>17, 23</t>
        </is>
      </c>
      <c r="J39" s="9" t="inlineStr">
        <is>
          <t>Mayada Salah</t>
        </is>
      </c>
      <c r="K39" s="9" t="inlineStr">
        <is>
          <t>TC-INV-06</t>
        </is>
      </c>
      <c r="L39" s="9" t="inlineStr">
        <is>
          <t>Planned</t>
        </is>
      </c>
    </row>
    <row r="40">
      <c r="A40" s="9" t="inlineStr">
        <is>
          <t>BR-INV-07</t>
        </is>
      </c>
      <c r="B40" s="9" t="inlineStr">
        <is>
          <t>Inventory</t>
        </is>
      </c>
      <c r="C40" s="10" t="inlineStr">
        <is>
          <t>Warranty end date per serial number calculated from the delivery date</t>
        </is>
      </c>
      <c r="D40" s="9" t="inlineStr">
        <is>
          <t>Should</t>
        </is>
      </c>
      <c r="E40" s="9" t="inlineStr">
        <is>
          <t>PP-06</t>
        </is>
      </c>
      <c r="F40" s="9" t="inlineStr">
        <is>
          <t>Customization</t>
        </is>
      </c>
      <c r="G40" s="10" t="inlineStr">
        <is>
          <t>Warranty months on product + computed field on serial (Studio)</t>
        </is>
      </c>
      <c r="H40" s="9" t="inlineStr">
        <is>
          <t>SSD 3.5</t>
        </is>
      </c>
      <c r="I40" s="9" t="inlineStr">
        <is>
          <t>-</t>
        </is>
      </c>
      <c r="J40" s="9" t="inlineStr">
        <is>
          <t>Mayada Salah</t>
        </is>
      </c>
      <c r="K40" s="9" t="inlineStr">
        <is>
          <t>TC-INV-07</t>
        </is>
      </c>
      <c r="L40" s="9" t="inlineStr">
        <is>
          <t>Planned</t>
        </is>
      </c>
    </row>
    <row r="41">
      <c r="A41" s="9" t="inlineStr">
        <is>
          <t>BR-INV-08</t>
        </is>
      </c>
      <c r="B41" s="9" t="inlineStr">
        <is>
          <t>Inventory</t>
        </is>
      </c>
      <c r="C41" s="9" t="inlineStr">
        <is>
          <t>AVCO valuation with automatic accounting entries</t>
        </is>
      </c>
      <c r="D41" s="9" t="inlineStr">
        <is>
          <t>Must</t>
        </is>
      </c>
      <c r="E41" s="9" t="inlineStr">
        <is>
          <t>PP-01, PP-10</t>
        </is>
      </c>
      <c r="F41" s="9" t="inlineStr">
        <is>
          <t>Standard</t>
        </is>
      </c>
      <c r="G41" s="9" t="inlineStr">
        <is>
          <t>Automated valuation on product categories</t>
        </is>
      </c>
      <c r="H41" s="9" t="inlineStr">
        <is>
          <t>SSD 3.5</t>
        </is>
      </c>
      <c r="I41" s="9" t="inlineStr">
        <is>
          <t>15</t>
        </is>
      </c>
      <c r="J41" s="9" t="inlineStr">
        <is>
          <t>Mayada Salah</t>
        </is>
      </c>
      <c r="K41" s="9" t="inlineStr">
        <is>
          <t>TC-INV-08</t>
        </is>
      </c>
      <c r="L41" s="9" t="inlineStr">
        <is>
          <t>Planned</t>
        </is>
      </c>
    </row>
    <row r="42">
      <c r="A42" s="9" t="inlineStr">
        <is>
          <t>BR-INV-09</t>
        </is>
      </c>
      <c r="B42" s="9" t="inlineStr">
        <is>
          <t>Inventory</t>
        </is>
      </c>
      <c r="C42" s="9" t="inlineStr">
        <is>
          <t>Cycle counts; only the Warehouse Manager applies adjustments</t>
        </is>
      </c>
      <c r="D42" s="9" t="inlineStr">
        <is>
          <t>Must</t>
        </is>
      </c>
      <c r="E42" s="9" t="inlineStr">
        <is>
          <t>PP-04, PP-14</t>
        </is>
      </c>
      <c r="F42" s="9" t="inlineStr">
        <is>
          <t>Standard</t>
        </is>
      </c>
      <c r="G42" s="9" t="inlineStr">
        <is>
          <t>Physical Inventory; Apply limited to Inventory Administrator</t>
        </is>
      </c>
      <c r="H42" s="9" t="inlineStr">
        <is>
          <t>SSD 3.5</t>
        </is>
      </c>
      <c r="I42" s="9" t="inlineStr">
        <is>
          <t>-</t>
        </is>
      </c>
      <c r="J42" s="9" t="inlineStr">
        <is>
          <t>Mayada Salah</t>
        </is>
      </c>
      <c r="K42" s="9" t="inlineStr">
        <is>
          <t>TC-INV-09</t>
        </is>
      </c>
      <c r="L42" s="9" t="inlineStr">
        <is>
          <t>Planned</t>
        </is>
      </c>
    </row>
    <row r="43">
      <c r="A43" s="9" t="inlineStr">
        <is>
          <t>BR-INV-10</t>
        </is>
      </c>
      <c r="B43" s="9" t="inlineStr">
        <is>
          <t>Inventory</t>
        </is>
      </c>
      <c r="C43" s="10" t="inlineStr">
        <is>
          <t>Scrap recording; scrap above 10,000 EGP reviewed by the Production Manager</t>
        </is>
      </c>
      <c r="D43" s="9" t="inlineStr">
        <is>
          <t>Should</t>
        </is>
      </c>
      <c r="E43" s="9" t="inlineStr">
        <is>
          <t>PP-05</t>
        </is>
      </c>
      <c r="F43" s="9" t="inlineStr">
        <is>
          <t>Workaround</t>
        </is>
      </c>
      <c r="G43" s="9" t="inlineStr">
        <is>
          <t>Scrap orders + weekly scrap report review</t>
        </is>
      </c>
      <c r="H43" s="9" t="inlineStr">
        <is>
          <t>SSD 3.5</t>
        </is>
      </c>
      <c r="I43" s="9" t="inlineStr">
        <is>
          <t>-</t>
        </is>
      </c>
      <c r="J43" s="9" t="inlineStr">
        <is>
          <t>Mayada Salah</t>
        </is>
      </c>
      <c r="K43" s="9" t="inlineStr">
        <is>
          <t>TC-INV-10</t>
        </is>
      </c>
      <c r="L43" s="9" t="inlineStr">
        <is>
          <t>Planned</t>
        </is>
      </c>
    </row>
    <row r="44">
      <c r="A44" s="9" t="inlineStr">
        <is>
          <t>BR-INV-11</t>
        </is>
      </c>
      <c r="B44" s="9" t="inlineStr">
        <is>
          <t>Inventory</t>
        </is>
      </c>
      <c r="C44" s="9" t="inlineStr">
        <is>
          <t>Customer returns go to quality control with serial check</t>
        </is>
      </c>
      <c r="D44" s="9" t="inlineStr">
        <is>
          <t>Should</t>
        </is>
      </c>
      <c r="E44" s="9" t="inlineStr">
        <is>
          <t>PP-06</t>
        </is>
      </c>
      <c r="F44" s="9" t="inlineStr">
        <is>
          <t>Standard</t>
        </is>
      </c>
      <c r="G44" s="9" t="inlineStr">
        <is>
          <t>Return transfers to QC location</t>
        </is>
      </c>
      <c r="H44" s="9" t="inlineStr">
        <is>
          <t>SSD 3.5</t>
        </is>
      </c>
      <c r="I44" s="9" t="inlineStr">
        <is>
          <t>-</t>
        </is>
      </c>
      <c r="J44" s="9" t="inlineStr">
        <is>
          <t>Mayada Salah</t>
        </is>
      </c>
      <c r="K44" s="9" t="inlineStr">
        <is>
          <t>TC-INV-11</t>
        </is>
      </c>
      <c r="L44" s="9" t="inlineStr">
        <is>
          <t>Planned</t>
        </is>
      </c>
    </row>
    <row r="45">
      <c r="A45" s="9" t="inlineStr">
        <is>
          <t>BR-MRP-01</t>
        </is>
      </c>
      <c r="B45" s="9" t="inlineStr">
        <is>
          <t>Manufacturing</t>
        </is>
      </c>
      <c r="C45" s="10" t="inlineStr">
        <is>
          <t>Multi-level BOMs for assembled products (fan with control-board sub-assembly)</t>
        </is>
      </c>
      <c r="D45" s="9" t="inlineStr">
        <is>
          <t>Must</t>
        </is>
      </c>
      <c r="E45" s="9" t="inlineStr">
        <is>
          <t>PP-05</t>
        </is>
      </c>
      <c r="F45" s="9" t="inlineStr">
        <is>
          <t>Standard</t>
        </is>
      </c>
      <c r="G45" s="9" t="inlineStr">
        <is>
          <t>Bills of materials</t>
        </is>
      </c>
      <c r="H45" s="9" t="inlineStr">
        <is>
          <t>SSD 3.6</t>
        </is>
      </c>
      <c r="I45" s="9" t="inlineStr">
        <is>
          <t>19</t>
        </is>
      </c>
      <c r="J45" s="9" t="inlineStr">
        <is>
          <t>Ahmed Fahmy</t>
        </is>
      </c>
      <c r="K45" s="9" t="inlineStr">
        <is>
          <t>TC-MRP-01</t>
        </is>
      </c>
      <c r="L45" s="9" t="inlineStr">
        <is>
          <t>Planned</t>
        </is>
      </c>
    </row>
    <row r="46">
      <c r="A46" s="9" t="inlineStr">
        <is>
          <t>BR-MRP-02</t>
        </is>
      </c>
      <c r="B46" s="9" t="inlineStr">
        <is>
          <t>Manufacturing</t>
        </is>
      </c>
      <c r="C46" s="9" t="inlineStr">
        <is>
          <t>Work orders by work center with time tracking</t>
        </is>
      </c>
      <c r="D46" s="9" t="inlineStr">
        <is>
          <t>Must</t>
        </is>
      </c>
      <c r="E46" s="9" t="inlineStr">
        <is>
          <t>PP-05</t>
        </is>
      </c>
      <c r="F46" s="9" t="inlineStr">
        <is>
          <t>Standard</t>
        </is>
      </c>
      <c r="G46" s="9" t="inlineStr">
        <is>
          <t>Work orders, work centers, operations</t>
        </is>
      </c>
      <c r="H46" s="9" t="inlineStr">
        <is>
          <t>SSD 3.6</t>
        </is>
      </c>
      <c r="I46" s="9" t="inlineStr">
        <is>
          <t>18, 20</t>
        </is>
      </c>
      <c r="J46" s="9" t="inlineStr">
        <is>
          <t>Ahmed Fahmy</t>
        </is>
      </c>
      <c r="K46" s="9" t="inlineStr">
        <is>
          <t>TC-MRP-02</t>
        </is>
      </c>
      <c r="L46" s="9" t="inlineStr">
        <is>
          <t>Planned</t>
        </is>
      </c>
    </row>
    <row r="47">
      <c r="A47" s="9" t="inlineStr">
        <is>
          <t>BR-MRP-03</t>
        </is>
      </c>
      <c r="B47" s="9" t="inlineStr">
        <is>
          <t>Manufacturing</t>
        </is>
      </c>
      <c r="C47" s="10" t="inlineStr">
        <is>
          <t>Product cost = components + labour and overhead per work center</t>
        </is>
      </c>
      <c r="D47" s="9" t="inlineStr">
        <is>
          <t>Must</t>
        </is>
      </c>
      <c r="E47" s="9" t="inlineStr">
        <is>
          <t>PP-05, PP-01</t>
        </is>
      </c>
      <c r="F47" s="9" t="inlineStr">
        <is>
          <t>Standard</t>
        </is>
      </c>
      <c r="G47" s="9" t="inlineStr">
        <is>
          <t>AVCO + work center cost per hour</t>
        </is>
      </c>
      <c r="H47" s="9" t="inlineStr">
        <is>
          <t>SSD 3.6</t>
        </is>
      </c>
      <c r="I47" s="9" t="inlineStr">
        <is>
          <t>18</t>
        </is>
      </c>
      <c r="J47" s="9" t="inlineStr">
        <is>
          <t>Ahmed Fahmy</t>
        </is>
      </c>
      <c r="K47" s="9" t="inlineStr">
        <is>
          <t>TC-MRP-03</t>
        </is>
      </c>
      <c r="L47" s="9" t="inlineStr">
        <is>
          <t>Planned</t>
        </is>
      </c>
    </row>
    <row r="48">
      <c r="A48" s="9" t="inlineStr">
        <is>
          <t>BR-MRP-04</t>
        </is>
      </c>
      <c r="B48" s="9" t="inlineStr">
        <is>
          <t>Manufacturing</t>
        </is>
      </c>
      <c r="C48" s="9" t="inlineStr">
        <is>
          <t>Automatic manufacturing orders from reordering rules</t>
        </is>
      </c>
      <c r="D48" s="9" t="inlineStr">
        <is>
          <t>Should</t>
        </is>
      </c>
      <c r="E48" s="9" t="inlineStr">
        <is>
          <t>PP-03</t>
        </is>
      </c>
      <c r="F48" s="9" t="inlineStr">
        <is>
          <t>Standard</t>
        </is>
      </c>
      <c r="G48" s="9" t="inlineStr">
        <is>
          <t>Reordering rules + Manufacture route</t>
        </is>
      </c>
      <c r="H48" s="9" t="inlineStr">
        <is>
          <t>SSD 3.6</t>
        </is>
      </c>
      <c r="I48" s="9" t="inlineStr">
        <is>
          <t>25</t>
        </is>
      </c>
      <c r="J48" s="9" t="inlineStr">
        <is>
          <t>Ahmed Fahmy</t>
        </is>
      </c>
      <c r="K48" s="9" t="inlineStr">
        <is>
          <t>TC-MRP-04</t>
        </is>
      </c>
      <c r="L48" s="9" t="inlineStr">
        <is>
          <t>Planned</t>
        </is>
      </c>
    </row>
    <row r="49">
      <c r="A49" s="9" t="inlineStr">
        <is>
          <t>BR-MRP-05</t>
        </is>
      </c>
      <c r="B49" s="9" t="inlineStr">
        <is>
          <t>Manufacturing</t>
        </is>
      </c>
      <c r="C49" s="9" t="inlineStr">
        <is>
          <t>Generate serial numbers for finished fans at production</t>
        </is>
      </c>
      <c r="D49" s="9" t="inlineStr">
        <is>
          <t>Must</t>
        </is>
      </c>
      <c r="E49" s="9" t="inlineStr">
        <is>
          <t>PP-06</t>
        </is>
      </c>
      <c r="F49" s="9" t="inlineStr">
        <is>
          <t>Standard</t>
        </is>
      </c>
      <c r="G49" s="9" t="inlineStr">
        <is>
          <t>Serial generation on manufacturing order</t>
        </is>
      </c>
      <c r="H49" s="9" t="inlineStr">
        <is>
          <t>SSD 3.6</t>
        </is>
      </c>
      <c r="I49" s="9" t="inlineStr">
        <is>
          <t>-</t>
        </is>
      </c>
      <c r="J49" s="9" t="inlineStr">
        <is>
          <t>Ahmed Fahmy</t>
        </is>
      </c>
      <c r="K49" s="9" t="inlineStr">
        <is>
          <t>TC-MRP-05</t>
        </is>
      </c>
      <c r="L49" s="9" t="inlineStr">
        <is>
          <t>Planned</t>
        </is>
      </c>
    </row>
    <row r="50">
      <c r="A50" s="9" t="inlineStr">
        <is>
          <t>BR-MRP-06</t>
        </is>
      </c>
      <c r="B50" s="9" t="inlineStr">
        <is>
          <t>Manufacturing</t>
        </is>
      </c>
      <c r="C50" s="9" t="inlineStr">
        <is>
          <t>Record component scrap during production</t>
        </is>
      </c>
      <c r="D50" s="9" t="inlineStr">
        <is>
          <t>Should</t>
        </is>
      </c>
      <c r="E50" s="9" t="inlineStr">
        <is>
          <t>PP-05</t>
        </is>
      </c>
      <c r="F50" s="9" t="inlineStr">
        <is>
          <t>Standard</t>
        </is>
      </c>
      <c r="G50" s="9" t="inlineStr">
        <is>
          <t>Scrap from manufacturing order</t>
        </is>
      </c>
      <c r="H50" s="9" t="inlineStr">
        <is>
          <t>SSD 3.6</t>
        </is>
      </c>
      <c r="I50" s="9" t="inlineStr">
        <is>
          <t>-</t>
        </is>
      </c>
      <c r="J50" s="9" t="inlineStr">
        <is>
          <t>Ahmed Fahmy</t>
        </is>
      </c>
      <c r="K50" s="9" t="inlineStr">
        <is>
          <t>TC-MRP-06</t>
        </is>
      </c>
      <c r="L50" s="9" t="inlineStr">
        <is>
          <t>Planned</t>
        </is>
      </c>
    </row>
    <row r="51">
      <c r="A51" s="9" t="inlineStr">
        <is>
          <t>BR-MRP-07</t>
        </is>
      </c>
      <c r="B51" s="9" t="inlineStr">
        <is>
          <t>Manufacturing</t>
        </is>
      </c>
      <c r="C51" s="9" t="inlineStr">
        <is>
          <t>Quality check before finished goods move to stock</t>
        </is>
      </c>
      <c r="D51" s="9" t="inlineStr">
        <is>
          <t>Should</t>
        </is>
      </c>
      <c r="E51" s="9" t="inlineStr">
        <is>
          <t>PP-05</t>
        </is>
      </c>
      <c r="F51" s="9" t="inlineStr">
        <is>
          <t>Workaround</t>
        </is>
      </c>
      <c r="G51" s="10" t="inlineStr">
        <is>
          <t>QC operation in the routing + inspector sign-off (Quality app not in scope)</t>
        </is>
      </c>
      <c r="H51" s="9" t="inlineStr">
        <is>
          <t>SSD 3.6</t>
        </is>
      </c>
      <c r="I51" s="9" t="inlineStr">
        <is>
          <t>20</t>
        </is>
      </c>
      <c r="J51" s="9" t="inlineStr">
        <is>
          <t>Ahmed Fahmy</t>
        </is>
      </c>
      <c r="K51" s="9" t="inlineStr">
        <is>
          <t>TC-MRP-07</t>
        </is>
      </c>
      <c r="L51" s="9" t="inlineStr">
        <is>
          <t>Planned</t>
        </is>
      </c>
    </row>
    <row r="52">
      <c r="A52" s="9" t="inlineStr">
        <is>
          <t>BR-MRP-08</t>
        </is>
      </c>
      <c r="B52" s="9" t="inlineStr">
        <is>
          <t>Manufacturing</t>
        </is>
      </c>
      <c r="C52" s="10" t="inlineStr">
        <is>
          <t>Production performance: planned vs actual time and cost variance</t>
        </is>
      </c>
      <c r="D52" s="9" t="inlineStr">
        <is>
          <t>Could</t>
        </is>
      </c>
      <c r="E52" s="9" t="inlineStr">
        <is>
          <t>PP-05</t>
        </is>
      </c>
      <c r="F52" s="9" t="inlineStr">
        <is>
          <t>Workaround</t>
        </is>
      </c>
      <c r="G52" s="9" t="inlineStr">
        <is>
          <t>Work order analysis + MO cost comparison</t>
        </is>
      </c>
      <c r="H52" s="9" t="inlineStr">
        <is>
          <t>SSD 3.6</t>
        </is>
      </c>
      <c r="I52" s="9" t="inlineStr">
        <is>
          <t>-</t>
        </is>
      </c>
      <c r="J52" s="9" t="inlineStr">
        <is>
          <t>Ahmed Fahmy</t>
        </is>
      </c>
      <c r="K52" s="9" t="inlineStr">
        <is>
          <t>TC-MRP-08</t>
        </is>
      </c>
      <c r="L52" s="9" t="inlineStr">
        <is>
          <t>Planned</t>
        </is>
      </c>
    </row>
    <row r="53">
      <c r="A53" s="9" t="inlineStr">
        <is>
          <t>BR-ACC-01</t>
        </is>
      </c>
      <c r="B53" s="9" t="inlineStr">
        <is>
          <t>Accounting</t>
        </is>
      </c>
      <c r="C53" s="10" t="inlineStr">
        <is>
          <t>Egyptian chart of accounts with inventory, revenue and COGS by product line</t>
        </is>
      </c>
      <c r="D53" s="9" t="inlineStr">
        <is>
          <t>Must</t>
        </is>
      </c>
      <c r="E53" s="9" t="inlineStr">
        <is>
          <t>PP-09</t>
        </is>
      </c>
      <c r="F53" s="9" t="inlineStr">
        <is>
          <t>Standard</t>
        </is>
      </c>
      <c r="G53" s="9" t="inlineStr">
        <is>
          <t>Egypt localization + 61 Beitak Smart accounts</t>
        </is>
      </c>
      <c r="H53" s="9" t="inlineStr">
        <is>
          <t>SSD 3.7</t>
        </is>
      </c>
      <c r="I53" s="9" t="inlineStr">
        <is>
          <t>01</t>
        </is>
      </c>
      <c r="J53" s="9" t="inlineStr">
        <is>
          <t>Lobna Zanaty</t>
        </is>
      </c>
      <c r="K53" s="9" t="inlineStr">
        <is>
          <t>TC-ACC-01</t>
        </is>
      </c>
      <c r="L53" s="9" t="inlineStr">
        <is>
          <t>Planned</t>
        </is>
      </c>
    </row>
    <row r="54">
      <c r="A54" s="9" t="inlineStr">
        <is>
          <t>BR-ACC-02</t>
        </is>
      </c>
      <c r="B54" s="9" t="inlineStr">
        <is>
          <t>Accounting</t>
        </is>
      </c>
      <c r="C54" s="10" t="inlineStr">
        <is>
          <t>Egyptian VAT 14% on sales and purchases; withholding tax 1% / 2% / 3% on purchases (rates reviewed by a tax specialist)</t>
        </is>
      </c>
      <c r="D54" s="9" t="inlineStr">
        <is>
          <t>Must</t>
        </is>
      </c>
      <c r="E54" s="9" t="inlineStr">
        <is>
          <t>Compliance</t>
        </is>
      </c>
      <c r="F54" s="9" t="inlineStr">
        <is>
          <t>Standard</t>
        </is>
      </c>
      <c r="G54" s="9" t="inlineStr">
        <is>
          <t>Egypt localization taxes</t>
        </is>
      </c>
      <c r="H54" s="9" t="inlineStr">
        <is>
          <t>SSD 3.7</t>
        </is>
      </c>
      <c r="I54" s="9" t="inlineStr">
        <is>
          <t>-</t>
        </is>
      </c>
      <c r="J54" s="9" t="inlineStr">
        <is>
          <t>Lobna Zanaty</t>
        </is>
      </c>
      <c r="K54" s="9" t="inlineStr">
        <is>
          <t>TC-ACC-02</t>
        </is>
      </c>
      <c r="L54" s="9" t="inlineStr">
        <is>
          <t>Planned</t>
        </is>
      </c>
    </row>
    <row r="55">
      <c r="A55" s="9" t="inlineStr">
        <is>
          <t>BR-ACC-03</t>
        </is>
      </c>
      <c r="B55" s="9" t="inlineStr">
        <is>
          <t>Accounting</t>
        </is>
      </c>
      <c r="C55" s="9" t="inlineStr">
        <is>
          <t>USD transactions with exchange differences posted on payment</t>
        </is>
      </c>
      <c r="D55" s="9" t="inlineStr">
        <is>
          <t>Must</t>
        </is>
      </c>
      <c r="E55" s="9" t="inlineStr">
        <is>
          <t>PP-02</t>
        </is>
      </c>
      <c r="F55" s="9" t="inlineStr">
        <is>
          <t>Standard</t>
        </is>
      </c>
      <c r="G55" s="9" t="inlineStr">
        <is>
          <t>Multi-currency</t>
        </is>
      </c>
      <c r="H55" s="9" t="inlineStr">
        <is>
          <t>SSD 3.7</t>
        </is>
      </c>
      <c r="I55" s="9" t="inlineStr">
        <is>
          <t>-</t>
        </is>
      </c>
      <c r="J55" s="9" t="inlineStr">
        <is>
          <t>Lobna Zanaty</t>
        </is>
      </c>
      <c r="K55" s="9" t="inlineStr">
        <is>
          <t>TC-ACC-03</t>
        </is>
      </c>
      <c r="L55" s="9" t="inlineStr">
        <is>
          <t>Planned</t>
        </is>
      </c>
    </row>
    <row r="56">
      <c r="A56" s="9" t="inlineStr">
        <is>
          <t>BR-ACC-04</t>
        </is>
      </c>
      <c r="B56" s="9" t="inlineStr">
        <is>
          <t>Accounting</t>
        </is>
      </c>
      <c r="C56" s="9" t="inlineStr">
        <is>
          <t>4 bank and 4 cash journals with reconciliation</t>
        </is>
      </c>
      <c r="D56" s="9" t="inlineStr">
        <is>
          <t>Must</t>
        </is>
      </c>
      <c r="E56" s="9" t="inlineStr">
        <is>
          <t>PP-10</t>
        </is>
      </c>
      <c r="F56" s="9" t="inlineStr">
        <is>
          <t>Standard</t>
        </is>
      </c>
      <c r="G56" s="9" t="inlineStr">
        <is>
          <t>Bank / cash journals, reconciliation</t>
        </is>
      </c>
      <c r="H56" s="9" t="inlineStr">
        <is>
          <t>SSD 3.7</t>
        </is>
      </c>
      <c r="I56" s="9" t="inlineStr">
        <is>
          <t>02</t>
        </is>
      </c>
      <c r="J56" s="9" t="inlineStr">
        <is>
          <t>Lobna Zanaty</t>
        </is>
      </c>
      <c r="K56" s="9" t="inlineStr">
        <is>
          <t>TC-ACC-04</t>
        </is>
      </c>
      <c r="L56" s="9" t="inlineStr">
        <is>
          <t>Planned</t>
        </is>
      </c>
    </row>
    <row r="57">
      <c r="A57" s="9" t="inlineStr">
        <is>
          <t>BR-ACC-05</t>
        </is>
      </c>
      <c r="B57" s="9" t="inlineStr">
        <is>
          <t>Accounting</t>
        </is>
      </c>
      <c r="C57" s="10" t="inlineStr">
        <is>
          <t>Post-dated cheques received and issued tracked until collection</t>
        </is>
      </c>
      <c r="D57" s="9" t="inlineStr">
        <is>
          <t>Must</t>
        </is>
      </c>
      <c r="E57" s="9" t="inlineStr">
        <is>
          <t>PP-07</t>
        </is>
      </c>
      <c r="F57" s="9" t="inlineStr">
        <is>
          <t>Workaround</t>
        </is>
      </c>
      <c r="G57" s="10" t="inlineStr">
        <is>
          <t>Notes receivable / payable accounts (110300, 212100) with maturity date in reference</t>
        </is>
      </c>
      <c r="H57" s="9" t="inlineStr">
        <is>
          <t>SSD 3.7</t>
        </is>
      </c>
      <c r="I57" s="9" t="inlineStr">
        <is>
          <t>27</t>
        </is>
      </c>
      <c r="J57" s="9" t="inlineStr">
        <is>
          <t>Lobna Zanaty</t>
        </is>
      </c>
      <c r="K57" s="9" t="inlineStr">
        <is>
          <t>TC-ACC-05</t>
        </is>
      </c>
      <c r="L57" s="9" t="inlineStr">
        <is>
          <t>Planned</t>
        </is>
      </c>
    </row>
    <row r="58">
      <c r="A58" s="9" t="inlineStr">
        <is>
          <t>BR-ACC-06</t>
        </is>
      </c>
      <c r="B58" s="9" t="inlineStr">
        <is>
          <t>Accounting</t>
        </is>
      </c>
      <c r="C58" s="9" t="inlineStr">
        <is>
          <t>Aged receivable / payable and customer statements</t>
        </is>
      </c>
      <c r="D58" s="9" t="inlineStr">
        <is>
          <t>Must</t>
        </is>
      </c>
      <c r="E58" s="9" t="inlineStr">
        <is>
          <t>PP-07</t>
        </is>
      </c>
      <c r="F58" s="9" t="inlineStr">
        <is>
          <t>Standard</t>
        </is>
      </c>
      <c r="G58" s="9" t="inlineStr">
        <is>
          <t>Aged partner balance, follow-up</t>
        </is>
      </c>
      <c r="H58" s="9" t="inlineStr">
        <is>
          <t>SSD 3.7</t>
        </is>
      </c>
      <c r="I58" s="9" t="inlineStr">
        <is>
          <t>-</t>
        </is>
      </c>
      <c r="J58" s="9" t="inlineStr">
        <is>
          <t>Lobna Zanaty</t>
        </is>
      </c>
      <c r="K58" s="9" t="inlineStr">
        <is>
          <t>TC-ACC-06</t>
        </is>
      </c>
      <c r="L58" s="9" t="inlineStr">
        <is>
          <t>Planned</t>
        </is>
      </c>
    </row>
    <row r="59">
      <c r="A59" s="9" t="inlineStr">
        <is>
          <t>BR-ACC-07</t>
        </is>
      </c>
      <c r="B59" s="9" t="inlineStr">
        <is>
          <t>Accounting</t>
        </is>
      </c>
      <c r="C59" s="9" t="inlineStr">
        <is>
          <t>Profitability by business line and branch</t>
        </is>
      </c>
      <c r="D59" s="9" t="inlineStr">
        <is>
          <t>Must</t>
        </is>
      </c>
      <c r="E59" s="9" t="inlineStr">
        <is>
          <t>PP-09</t>
        </is>
      </c>
      <c r="F59" s="9" t="inlineStr">
        <is>
          <t>Standard</t>
        </is>
      </c>
      <c r="G59" s="9" t="inlineStr">
        <is>
          <t>Analytic plans + distribution models</t>
        </is>
      </c>
      <c r="H59" s="9" t="inlineStr">
        <is>
          <t>SSD 3.7</t>
        </is>
      </c>
      <c r="I59" s="9" t="inlineStr">
        <is>
          <t>03, 04</t>
        </is>
      </c>
      <c r="J59" s="9" t="inlineStr">
        <is>
          <t>Lobna Zanaty</t>
        </is>
      </c>
      <c r="K59" s="9" t="inlineStr">
        <is>
          <t>TC-ACC-07</t>
        </is>
      </c>
      <c r="L59" s="9" t="inlineStr">
        <is>
          <t>Planned</t>
        </is>
      </c>
    </row>
    <row r="60">
      <c r="A60" s="9" t="inlineStr">
        <is>
          <t>BR-ACC-08</t>
        </is>
      </c>
      <c r="B60" s="9" t="inlineStr">
        <is>
          <t>Accounting</t>
        </is>
      </c>
      <c r="C60" s="10" t="inlineStr">
        <is>
          <t>Payments above 500,000 EGP posted only by the Finance Manager</t>
        </is>
      </c>
      <c r="D60" s="9" t="inlineStr">
        <is>
          <t>Should</t>
        </is>
      </c>
      <c r="E60" s="9" t="inlineStr">
        <is>
          <t>PP-12</t>
        </is>
      </c>
      <c r="F60" s="9" t="inlineStr">
        <is>
          <t>Workaround</t>
        </is>
      </c>
      <c r="G60" s="9" t="inlineStr">
        <is>
          <t>Treasurer drafts payments; Finance Manager posts</t>
        </is>
      </c>
      <c r="H60" s="9" t="inlineStr">
        <is>
          <t>SSD 3.7</t>
        </is>
      </c>
      <c r="I60" s="9" t="inlineStr">
        <is>
          <t>-</t>
        </is>
      </c>
      <c r="J60" s="9" t="inlineStr">
        <is>
          <t>Lobna Zanaty</t>
        </is>
      </c>
      <c r="K60" s="9" t="inlineStr">
        <is>
          <t>TC-ACC-08</t>
        </is>
      </c>
      <c r="L60" s="9" t="inlineStr">
        <is>
          <t>Planned</t>
        </is>
      </c>
    </row>
    <row r="61">
      <c r="A61" s="9" t="inlineStr">
        <is>
          <t>BR-ACC-09</t>
        </is>
      </c>
      <c r="B61" s="9" t="inlineStr">
        <is>
          <t>Accounting</t>
        </is>
      </c>
      <c r="C61" s="9" t="inlineStr">
        <is>
          <t>Month-end close within 5 working days with lock dates</t>
        </is>
      </c>
      <c r="D61" s="9" t="inlineStr">
        <is>
          <t>Must</t>
        </is>
      </c>
      <c r="E61" s="9" t="inlineStr">
        <is>
          <t>PP-10</t>
        </is>
      </c>
      <c r="F61" s="9" t="inlineStr">
        <is>
          <t>Standard</t>
        </is>
      </c>
      <c r="G61" s="9" t="inlineStr">
        <is>
          <t>Lock dates, reconciliation, closing checklist</t>
        </is>
      </c>
      <c r="H61" s="9" t="inlineStr">
        <is>
          <t>SSD 3.7</t>
        </is>
      </c>
      <c r="I61" s="9" t="inlineStr">
        <is>
          <t>-</t>
        </is>
      </c>
      <c r="J61" s="9" t="inlineStr">
        <is>
          <t>Lobna Zanaty</t>
        </is>
      </c>
      <c r="K61" s="9" t="inlineStr">
        <is>
          <t>TC-ACC-09</t>
        </is>
      </c>
      <c r="L61" s="9" t="inlineStr">
        <is>
          <t>Planned</t>
        </is>
      </c>
    </row>
    <row r="62">
      <c r="A62" s="9" t="inlineStr">
        <is>
          <t>BR-ACC-10</t>
        </is>
      </c>
      <c r="B62" s="9" t="inlineStr">
        <is>
          <t>Accounting</t>
        </is>
      </c>
      <c r="C62" s="9" t="inlineStr">
        <is>
          <t>Opening balances by account and partner as at 1 Jan 2027</t>
        </is>
      </c>
      <c r="D62" s="9" t="inlineStr">
        <is>
          <t>Must</t>
        </is>
      </c>
      <c r="E62" s="9" t="inlineStr">
        <is>
          <t>PP-10</t>
        </is>
      </c>
      <c r="F62" s="9" t="inlineStr">
        <is>
          <t>Standard</t>
        </is>
      </c>
      <c r="G62" s="9" t="inlineStr">
        <is>
          <t>Opening journal entry import</t>
        </is>
      </c>
      <c r="H62" s="9" t="inlineStr">
        <is>
          <t>SSD 3.7</t>
        </is>
      </c>
      <c r="I62" s="9" t="inlineStr">
        <is>
          <t>27</t>
        </is>
      </c>
      <c r="J62" s="9" t="inlineStr">
        <is>
          <t>Lobna Zanaty</t>
        </is>
      </c>
      <c r="K62" s="9" t="inlineStr">
        <is>
          <t>TC-ACC-10</t>
        </is>
      </c>
      <c r="L62" s="9" t="inlineStr">
        <is>
          <t>Planned</t>
        </is>
      </c>
    </row>
    <row r="63">
      <c r="A63" s="9" t="inlineStr">
        <is>
          <t>BR-ACC-11</t>
        </is>
      </c>
      <c r="B63" s="9" t="inlineStr">
        <is>
          <t>Accounting</t>
        </is>
      </c>
      <c r="C63" s="9" t="inlineStr">
        <is>
          <t>Trial balance, P&amp;L, balance sheet and VAT report</t>
        </is>
      </c>
      <c r="D63" s="9" t="inlineStr">
        <is>
          <t>Must</t>
        </is>
      </c>
      <c r="E63" s="9" t="inlineStr">
        <is>
          <t>PP-10</t>
        </is>
      </c>
      <c r="F63" s="9" t="inlineStr">
        <is>
          <t>Standard</t>
        </is>
      </c>
      <c r="G63" s="9" t="inlineStr">
        <is>
          <t>Accounting reports (Enterprise)</t>
        </is>
      </c>
      <c r="H63" s="9" t="inlineStr">
        <is>
          <t>SSD 3.7</t>
        </is>
      </c>
      <c r="I63" s="9" t="inlineStr">
        <is>
          <t>-</t>
        </is>
      </c>
      <c r="J63" s="9" t="inlineStr">
        <is>
          <t>Lobna Zanaty</t>
        </is>
      </c>
      <c r="K63" s="9" t="inlineStr">
        <is>
          <t>TC-ACC-11</t>
        </is>
      </c>
      <c r="L63" s="9" t="inlineStr">
        <is>
          <t>Planned</t>
        </is>
      </c>
    </row>
    <row r="64">
      <c r="A64" s="9" t="inlineStr">
        <is>
          <t>BR-ACC-12</t>
        </is>
      </c>
      <c r="B64" s="9" t="inlineStr">
        <is>
          <t>Accounting</t>
        </is>
      </c>
      <c r="C64" s="10" t="inlineStr">
        <is>
          <t>Inventory valuation report reconciles with GL inventory accounts</t>
        </is>
      </c>
      <c r="D64" s="9" t="inlineStr">
        <is>
          <t>Must</t>
        </is>
      </c>
      <c r="E64" s="9" t="inlineStr">
        <is>
          <t>PP-01</t>
        </is>
      </c>
      <c r="F64" s="9" t="inlineStr">
        <is>
          <t>Standard</t>
        </is>
      </c>
      <c r="G64" s="9" t="inlineStr">
        <is>
          <t>Stock valuation report vs 1201xx accounts</t>
        </is>
      </c>
      <c r="H64" s="9" t="inlineStr">
        <is>
          <t>SSD 3.7</t>
        </is>
      </c>
      <c r="I64" s="9" t="inlineStr">
        <is>
          <t>-</t>
        </is>
      </c>
      <c r="J64" s="9" t="inlineStr">
        <is>
          <t>Lobna Zanaty</t>
        </is>
      </c>
      <c r="K64" s="9" t="inlineStr">
        <is>
          <t>TC-ACC-12</t>
        </is>
      </c>
      <c r="L64" s="9" t="inlineStr">
        <is>
          <t>Planned</t>
        </is>
      </c>
    </row>
    <row r="65">
      <c r="A65" s="9" t="inlineStr">
        <is>
          <t>BR-HR-01</t>
        </is>
      </c>
      <c r="B65" s="9" t="inlineStr">
        <is>
          <t>HR</t>
        </is>
      </c>
      <c r="C65" s="10" t="inlineStr">
        <is>
          <t>Employee records with departments, job positions and managers</t>
        </is>
      </c>
      <c r="D65" s="9" t="inlineStr">
        <is>
          <t>Must</t>
        </is>
      </c>
      <c r="E65" s="9" t="inlineStr">
        <is>
          <t>PP-13</t>
        </is>
      </c>
      <c r="F65" s="9" t="inlineStr">
        <is>
          <t>Standard</t>
        </is>
      </c>
      <c r="G65" s="9" t="inlineStr">
        <is>
          <t>Employees app</t>
        </is>
      </c>
      <c r="H65" s="9" t="inlineStr">
        <is>
          <t>SSD 3.8</t>
        </is>
      </c>
      <c r="I65" s="9" t="inlineStr">
        <is>
          <t>05-08</t>
        </is>
      </c>
      <c r="J65" s="9" t="inlineStr">
        <is>
          <t>Omar ElSayed</t>
        </is>
      </c>
      <c r="K65" s="9" t="inlineStr">
        <is>
          <t>TC-HR-01</t>
        </is>
      </c>
      <c r="L65" s="9" t="inlineStr">
        <is>
          <t>Planned</t>
        </is>
      </c>
    </row>
    <row r="66">
      <c r="A66" s="9" t="inlineStr">
        <is>
          <t>BR-HR-02</t>
        </is>
      </c>
      <c r="B66" s="9" t="inlineStr">
        <is>
          <t>HR</t>
        </is>
      </c>
      <c r="C66" s="9" t="inlineStr">
        <is>
          <t>Leave requests approved by the direct manager</t>
        </is>
      </c>
      <c r="D66" s="9" t="inlineStr">
        <is>
          <t>Should</t>
        </is>
      </c>
      <c r="E66" s="9" t="inlineStr">
        <is>
          <t>PP-13</t>
        </is>
      </c>
      <c r="F66" s="9" t="inlineStr">
        <is>
          <t>Standard</t>
        </is>
      </c>
      <c r="G66" s="9" t="inlineStr">
        <is>
          <t>Time Off</t>
        </is>
      </c>
      <c r="H66" s="9" t="inlineStr">
        <is>
          <t>SSD 3.8</t>
        </is>
      </c>
      <c r="I66" s="9" t="inlineStr">
        <is>
          <t>-</t>
        </is>
      </c>
      <c r="J66" s="9" t="inlineStr">
        <is>
          <t>Omar ElSayed</t>
        </is>
      </c>
      <c r="K66" s="9" t="inlineStr">
        <is>
          <t>TC-HR-02</t>
        </is>
      </c>
      <c r="L66" s="9" t="inlineStr">
        <is>
          <t>Planned</t>
        </is>
      </c>
    </row>
    <row r="67">
      <c r="A67" s="9" t="inlineStr">
        <is>
          <t>BR-HR-03</t>
        </is>
      </c>
      <c r="B67" s="9" t="inlineStr">
        <is>
          <t>HR</t>
        </is>
      </c>
      <c r="C67" s="9" t="inlineStr">
        <is>
          <t>Attendance check-in / out for warehouse and production staff</t>
        </is>
      </c>
      <c r="D67" s="9" t="inlineStr">
        <is>
          <t>Could</t>
        </is>
      </c>
      <c r="E67" s="9" t="inlineStr">
        <is>
          <t>PP-13</t>
        </is>
      </c>
      <c r="F67" s="9" t="inlineStr">
        <is>
          <t>Standard</t>
        </is>
      </c>
      <c r="G67" s="9" t="inlineStr">
        <is>
          <t>Attendances (kiosk mode)</t>
        </is>
      </c>
      <c r="H67" s="9" t="inlineStr">
        <is>
          <t>SSD 3.8</t>
        </is>
      </c>
      <c r="I67" s="9" t="inlineStr">
        <is>
          <t>-</t>
        </is>
      </c>
      <c r="J67" s="9" t="inlineStr">
        <is>
          <t>Omar ElSayed</t>
        </is>
      </c>
      <c r="K67" s="9" t="inlineStr">
        <is>
          <t>TC-HR-03</t>
        </is>
      </c>
      <c r="L67" s="9" t="inlineStr">
        <is>
          <t>Planned</t>
        </is>
      </c>
    </row>
    <row r="68">
      <c r="A68" s="9" t="inlineStr">
        <is>
          <t>BR-HR-04</t>
        </is>
      </c>
      <c r="B68" s="9" t="inlineStr">
        <is>
          <t>HR</t>
        </is>
      </c>
      <c r="C68" s="10" t="inlineStr">
        <is>
          <t>Each user linked to an employee with role-based access rights</t>
        </is>
      </c>
      <c r="D68" s="9" t="inlineStr">
        <is>
          <t>Must</t>
        </is>
      </c>
      <c r="E68" s="9" t="inlineStr">
        <is>
          <t>PP-14</t>
        </is>
      </c>
      <c r="F68" s="9" t="inlineStr">
        <is>
          <t>Standard</t>
        </is>
      </c>
      <c r="G68" s="9" t="inlineStr">
        <is>
          <t>Users created from employees + access groups</t>
        </is>
      </c>
      <c r="H68" s="9" t="inlineStr">
        <is>
          <t>SSD 3.8</t>
        </is>
      </c>
      <c r="I68" s="9" t="inlineStr">
        <is>
          <t>07</t>
        </is>
      </c>
      <c r="J68" s="9" t="inlineStr">
        <is>
          <t>Omar ElSayed</t>
        </is>
      </c>
      <c r="K68" s="9" t="inlineStr">
        <is>
          <t>TC-HR-04</t>
        </is>
      </c>
      <c r="L68" s="9" t="inlineStr">
        <is>
          <t>Planned</t>
        </is>
      </c>
    </row>
    <row r="69">
      <c r="A69" s="9" t="inlineStr">
        <is>
          <t>BR-GEN-01</t>
        </is>
      </c>
      <c r="B69" s="9" t="inlineStr">
        <is>
          <t>Cross-functional</t>
        </is>
      </c>
      <c r="C69" s="9" t="inlineStr">
        <is>
          <t>Migrate master data and opening stock with serial numbers</t>
        </is>
      </c>
      <c r="D69" s="9" t="inlineStr">
        <is>
          <t>Must</t>
        </is>
      </c>
      <c r="E69" s="9" t="inlineStr">
        <is>
          <t>PP-10</t>
        </is>
      </c>
      <c r="F69" s="9" t="inlineStr">
        <is>
          <t>Standard</t>
        </is>
      </c>
      <c r="G69" s="9" t="inlineStr">
        <is>
          <t>Import files 01-27</t>
        </is>
      </c>
      <c r="H69" s="9" t="inlineStr">
        <is>
          <t>SSD 3.9</t>
        </is>
      </c>
      <c r="I69" s="9" t="inlineStr">
        <is>
          <t>01-27</t>
        </is>
      </c>
      <c r="J69" s="9" t="inlineStr">
        <is>
          <t>Omar ElSayed</t>
        </is>
      </c>
      <c r="K69" s="9" t="inlineStr">
        <is>
          <t>TC-GEN-01</t>
        </is>
      </c>
      <c r="L69" s="9" t="inlineStr">
        <is>
          <t>Planned</t>
        </is>
      </c>
    </row>
    <row r="70">
      <c r="A70" s="9" t="inlineStr">
        <is>
          <t>BR-GEN-02</t>
        </is>
      </c>
      <c r="B70" s="9" t="inlineStr">
        <is>
          <t>Cross-functional</t>
        </is>
      </c>
      <c r="C70" s="9" t="inlineStr">
        <is>
          <t>Audit trail of changes on key documents</t>
        </is>
      </c>
      <c r="D70" s="9" t="inlineStr">
        <is>
          <t>Must</t>
        </is>
      </c>
      <c r="E70" s="9" t="inlineStr">
        <is>
          <t>PP-12</t>
        </is>
      </c>
      <c r="F70" s="9" t="inlineStr">
        <is>
          <t>Standard</t>
        </is>
      </c>
      <c r="G70" s="9" t="inlineStr">
        <is>
          <t>Chatter tracking</t>
        </is>
      </c>
      <c r="H70" s="9" t="inlineStr">
        <is>
          <t>SSD 3.9</t>
        </is>
      </c>
      <c r="I70" s="9" t="inlineStr">
        <is>
          <t>-</t>
        </is>
      </c>
      <c r="J70" s="9" t="inlineStr">
        <is>
          <t>Omar ElSayed</t>
        </is>
      </c>
      <c r="K70" s="9" t="inlineStr">
        <is>
          <t>TC-GEN-02</t>
        </is>
      </c>
      <c r="L70" s="9" t="inlineStr">
        <is>
          <t>Planned</t>
        </is>
      </c>
    </row>
    <row r="71">
      <c r="A71" s="9" t="inlineStr">
        <is>
          <t>BR-GEN-03</t>
        </is>
      </c>
      <c r="B71" s="9" t="inlineStr">
        <is>
          <t>Cross-functional</t>
        </is>
      </c>
      <c r="C71" s="9" t="inlineStr">
        <is>
          <t>History of product price changes</t>
        </is>
      </c>
      <c r="D71" s="9" t="inlineStr">
        <is>
          <t>Should</t>
        </is>
      </c>
      <c r="E71" s="9" t="inlineStr">
        <is>
          <t>PP-02</t>
        </is>
      </c>
      <c r="F71" s="9" t="inlineStr">
        <is>
          <t>Customization</t>
        </is>
      </c>
      <c r="G71" s="9" t="inlineStr">
        <is>
          <t>Field tracking on sales price and cost (Studio)</t>
        </is>
      </c>
      <c r="H71" s="9" t="inlineStr">
        <is>
          <t>SSD 3.9</t>
        </is>
      </c>
      <c r="I71" s="9" t="inlineStr">
        <is>
          <t>-</t>
        </is>
      </c>
      <c r="J71" s="9" t="inlineStr">
        <is>
          <t>Omar ElSayed</t>
        </is>
      </c>
      <c r="K71" s="9" t="inlineStr">
        <is>
          <t>TC-GEN-03</t>
        </is>
      </c>
      <c r="L71" s="9" t="inlineStr">
        <is>
          <t>Planned</t>
        </is>
      </c>
    </row>
    <row r="72">
      <c r="A72" s="9" t="inlineStr">
        <is>
          <t>BR-GEN-04</t>
        </is>
      </c>
      <c r="B72" s="9" t="inlineStr">
        <is>
          <t>Cross-functional</t>
        </is>
      </c>
      <c r="C72" s="10" t="inlineStr">
        <is>
          <t>Management dashboard: sales vs target, stock value, overdue receivables</t>
        </is>
      </c>
      <c r="D72" s="9" t="inlineStr">
        <is>
          <t>Should</t>
        </is>
      </c>
      <c r="E72" s="9" t="inlineStr">
        <is>
          <t>PP-09</t>
        </is>
      </c>
      <c r="F72" s="9" t="inlineStr">
        <is>
          <t>Workaround</t>
        </is>
      </c>
      <c r="G72" s="9" t="inlineStr">
        <is>
          <t>Standard reports saved to a dashboard / spreadsheet</t>
        </is>
      </c>
      <c r="H72" s="9" t="inlineStr">
        <is>
          <t>SSD 3.9</t>
        </is>
      </c>
      <c r="I72" s="9" t="inlineStr">
        <is>
          <t>-</t>
        </is>
      </c>
      <c r="J72" s="9" t="inlineStr">
        <is>
          <t>Omar ElSayed</t>
        </is>
      </c>
      <c r="K72" s="9" t="inlineStr">
        <is>
          <t>TC-GEN-04</t>
        </is>
      </c>
      <c r="L72" s="9" t="inlineStr">
        <is>
          <t>Planned</t>
        </is>
      </c>
    </row>
    <row r="73">
      <c r="A73" s="9" t="inlineStr">
        <is>
          <t>BR-GEN-05</t>
        </is>
      </c>
      <c r="B73" s="9" t="inlineStr">
        <is>
          <t>Cross-functional</t>
        </is>
      </c>
      <c r="C73" s="9" t="inlineStr">
        <is>
          <t>Assign delivery drivers and print a daily trip sheet</t>
        </is>
      </c>
      <c r="D73" s="9" t="inlineStr">
        <is>
          <t>Could</t>
        </is>
      </c>
      <c r="E73" s="9" t="inlineStr">
        <is>
          <t>PP-04</t>
        </is>
      </c>
      <c r="F73" s="9" t="inlineStr">
        <is>
          <t>Customization</t>
        </is>
      </c>
      <c r="G73" s="9" t="inlineStr">
        <is>
          <t>Driver field on delivery + trip-sheet report</t>
        </is>
      </c>
      <c r="H73" s="9" t="inlineStr">
        <is>
          <t>SSD 3.9</t>
        </is>
      </c>
      <c r="I73" s="9" t="inlineStr">
        <is>
          <t>-</t>
        </is>
      </c>
      <c r="J73" s="9" t="inlineStr">
        <is>
          <t>Omar ElSayed</t>
        </is>
      </c>
      <c r="K73" s="9" t="inlineStr">
        <is>
          <t>TC-GEN-05</t>
        </is>
      </c>
      <c r="L73" s="9" t="inlineStr">
        <is>
          <t>Planned</t>
        </is>
      </c>
    </row>
    <row r="74">
      <c r="A74" s="9" t="inlineStr">
        <is>
          <t>BR-GEN-06</t>
        </is>
      </c>
      <c r="B74" s="9" t="inlineStr">
        <is>
          <t>Cross-functional</t>
        </is>
      </c>
      <c r="C74" s="10" t="inlineStr">
        <is>
          <t>Bilingual delivery note and transfer documents with serial numbers and signature box</t>
        </is>
      </c>
      <c r="D74" s="9" t="inlineStr">
        <is>
          <t>Should</t>
        </is>
      </c>
      <c r="E74" s="9" t="inlineStr">
        <is>
          <t>PP-06</t>
        </is>
      </c>
      <c r="F74" s="9" t="inlineStr">
        <is>
          <t>Customization</t>
        </is>
      </c>
      <c r="G74" s="9" t="inlineStr">
        <is>
          <t>Customized delivery report (QWeb)</t>
        </is>
      </c>
      <c r="H74" s="9" t="inlineStr">
        <is>
          <t>SSD 3.9</t>
        </is>
      </c>
      <c r="I74" s="9" t="inlineStr">
        <is>
          <t>-</t>
        </is>
      </c>
      <c r="J74" s="9" t="inlineStr">
        <is>
          <t>Omar ElSayed</t>
        </is>
      </c>
      <c r="K74" s="9" t="inlineStr">
        <is>
          <t>TC-GEN-06</t>
        </is>
      </c>
      <c r="L74" s="9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7" t="inlineStr">
        <is>
          <t>Fit / Gap Summary</t>
        </is>
      </c>
    </row>
    <row r="2">
      <c r="A2" s="2" t="inlineStr">
        <is>
          <t>Instructor target: Standard ~70%, Workaround 10-15%, Customization 15-20%.</t>
        </is>
      </c>
    </row>
    <row r="4">
      <c r="A4" s="8" t="inlineStr">
        <is>
          <t>Module</t>
        </is>
      </c>
      <c r="B4" s="8" t="inlineStr">
        <is>
          <t>Standard</t>
        </is>
      </c>
      <c r="C4" s="8" t="inlineStr">
        <is>
          <t>Workaround</t>
        </is>
      </c>
      <c r="D4" s="8" t="inlineStr">
        <is>
          <t>Customization</t>
        </is>
      </c>
      <c r="E4" s="8" t="inlineStr">
        <is>
          <t>Total</t>
        </is>
      </c>
    </row>
    <row r="5">
      <c r="A5" s="9" t="inlineStr">
        <is>
          <t>CRM</t>
        </is>
      </c>
      <c r="B5" s="11">
        <f>COUNTIFS(RTM!$B$5:$B$74,$A5,RTM!$F$5:$F$74,"Standard")</f>
        <v/>
      </c>
      <c r="C5" s="11">
        <f>COUNTIFS(RTM!$B$5:$B$74,$A5,RTM!$F$5:$F$74,"Workaround")</f>
        <v/>
      </c>
      <c r="D5" s="11">
        <f>COUNTIFS(RTM!$B$5:$B$74,$A5,RTM!$F$5:$F$74,"Customization")</f>
        <v/>
      </c>
      <c r="E5" s="11">
        <f>SUM(B5:D5)</f>
        <v/>
      </c>
    </row>
    <row r="6">
      <c r="A6" s="9" t="inlineStr">
        <is>
          <t>Sales</t>
        </is>
      </c>
      <c r="B6" s="11">
        <f>COUNTIFS(RTM!$B$5:$B$74,$A6,RTM!$F$5:$F$74,"Standard")</f>
        <v/>
      </c>
      <c r="C6" s="11">
        <f>COUNTIFS(RTM!$B$5:$B$74,$A6,RTM!$F$5:$F$74,"Workaround")</f>
        <v/>
      </c>
      <c r="D6" s="11">
        <f>COUNTIFS(RTM!$B$5:$B$74,$A6,RTM!$F$5:$F$74,"Customization")</f>
        <v/>
      </c>
      <c r="E6" s="11">
        <f>SUM(B6:D6)</f>
        <v/>
      </c>
    </row>
    <row r="7">
      <c r="A7" s="9" t="inlineStr">
        <is>
          <t>POS</t>
        </is>
      </c>
      <c r="B7" s="11">
        <f>COUNTIFS(RTM!$B$5:$B$74,$A7,RTM!$F$5:$F$74,"Standard")</f>
        <v/>
      </c>
      <c r="C7" s="11">
        <f>COUNTIFS(RTM!$B$5:$B$74,$A7,RTM!$F$5:$F$74,"Workaround")</f>
        <v/>
      </c>
      <c r="D7" s="11">
        <f>COUNTIFS(RTM!$B$5:$B$74,$A7,RTM!$F$5:$F$74,"Customization")</f>
        <v/>
      </c>
      <c r="E7" s="11">
        <f>SUM(B7:D7)</f>
        <v/>
      </c>
    </row>
    <row r="8">
      <c r="A8" s="9" t="inlineStr">
        <is>
          <t>Purchase</t>
        </is>
      </c>
      <c r="B8" s="11">
        <f>COUNTIFS(RTM!$B$5:$B$74,$A8,RTM!$F$5:$F$74,"Standard")</f>
        <v/>
      </c>
      <c r="C8" s="11">
        <f>COUNTIFS(RTM!$B$5:$B$74,$A8,RTM!$F$5:$F$74,"Workaround")</f>
        <v/>
      </c>
      <c r="D8" s="11">
        <f>COUNTIFS(RTM!$B$5:$B$74,$A8,RTM!$F$5:$F$74,"Customization")</f>
        <v/>
      </c>
      <c r="E8" s="11">
        <f>SUM(B8:D8)</f>
        <v/>
      </c>
    </row>
    <row r="9">
      <c r="A9" s="9" t="inlineStr">
        <is>
          <t>Inventory</t>
        </is>
      </c>
      <c r="B9" s="11">
        <f>COUNTIFS(RTM!$B$5:$B$74,$A9,RTM!$F$5:$F$74,"Standard")</f>
        <v/>
      </c>
      <c r="C9" s="11">
        <f>COUNTIFS(RTM!$B$5:$B$74,$A9,RTM!$F$5:$F$74,"Workaround")</f>
        <v/>
      </c>
      <c r="D9" s="11">
        <f>COUNTIFS(RTM!$B$5:$B$74,$A9,RTM!$F$5:$F$74,"Customization")</f>
        <v/>
      </c>
      <c r="E9" s="11">
        <f>SUM(B9:D9)</f>
        <v/>
      </c>
    </row>
    <row r="10">
      <c r="A10" s="9" t="inlineStr">
        <is>
          <t>Manufacturing</t>
        </is>
      </c>
      <c r="B10" s="11">
        <f>COUNTIFS(RTM!$B$5:$B$74,$A10,RTM!$F$5:$F$74,"Standard")</f>
        <v/>
      </c>
      <c r="C10" s="11">
        <f>COUNTIFS(RTM!$B$5:$B$74,$A10,RTM!$F$5:$F$74,"Workaround")</f>
        <v/>
      </c>
      <c r="D10" s="12">
        <f>COUNTIFS(RTM!$B$5:$B$74,$A10,RTM!$F$5:$F$74,"Customization")</f>
        <v/>
      </c>
      <c r="E10" s="11">
        <f>SUM(B10:D10)</f>
        <v/>
      </c>
    </row>
    <row r="11">
      <c r="A11" s="9" t="inlineStr">
        <is>
          <t>Accounting</t>
        </is>
      </c>
      <c r="B11" s="11">
        <f>COUNTIFS(RTM!$B$5:$B$74,$A11,RTM!$F$5:$F$74,"Standard")</f>
        <v/>
      </c>
      <c r="C11" s="11">
        <f>COUNTIFS(RTM!$B$5:$B$74,$A11,RTM!$F$5:$F$74,"Workaround")</f>
        <v/>
      </c>
      <c r="D11" s="12">
        <f>COUNTIFS(RTM!$B$5:$B$74,$A11,RTM!$F$5:$F$74,"Customization")</f>
        <v/>
      </c>
      <c r="E11" s="11">
        <f>SUM(B11:D11)</f>
        <v/>
      </c>
    </row>
    <row r="12">
      <c r="A12" s="9" t="inlineStr">
        <is>
          <t>HR</t>
        </is>
      </c>
      <c r="B12" s="11">
        <f>COUNTIFS(RTM!$B$5:$B$74,$A12,RTM!$F$5:$F$74,"Standard")</f>
        <v/>
      </c>
      <c r="C12" s="11">
        <f>COUNTIFS(RTM!$B$5:$B$74,$A12,RTM!$F$5:$F$74,"Workaround")</f>
        <v/>
      </c>
      <c r="D12" s="12">
        <f>COUNTIFS(RTM!$B$5:$B$74,$A12,RTM!$F$5:$F$74,"Customization")</f>
        <v/>
      </c>
      <c r="E12" s="11">
        <f>SUM(B12:D12)</f>
        <v/>
      </c>
    </row>
    <row r="13">
      <c r="A13" s="9" t="inlineStr">
        <is>
          <t>Cross-functional</t>
        </is>
      </c>
      <c r="B13" s="11">
        <f>COUNTIFS(RTM!$B$5:$B$74,$A13,RTM!$F$5:$F$74,"Standard")</f>
        <v/>
      </c>
      <c r="C13" s="11">
        <f>COUNTIFS(RTM!$B$5:$B$74,$A13,RTM!$F$5:$F$74,"Workaround")</f>
        <v/>
      </c>
      <c r="D13" s="12">
        <f>COUNTIFS(RTM!$B$5:$B$74,$A13,RTM!$F$5:$F$74,"Customization")</f>
        <v/>
      </c>
      <c r="E13" s="11">
        <f>SUM(B13:D13)</f>
        <v/>
      </c>
    </row>
    <row r="14">
      <c r="A14" s="13" t="inlineStr">
        <is>
          <t>Total</t>
        </is>
      </c>
      <c r="B14" s="14">
        <f>SUM(B5:B13)</f>
        <v/>
      </c>
      <c r="C14" s="14">
        <f>SUM(C5:C13)</f>
        <v/>
      </c>
      <c r="D14" s="14">
        <f>SUM(D5:D13)</f>
        <v/>
      </c>
      <c r="E14" s="14">
        <f>SUM(E5:E13)</f>
        <v/>
      </c>
    </row>
    <row r="16">
      <c r="A16" s="4" t="inlineStr">
        <is>
          <t>Share of total</t>
        </is>
      </c>
      <c r="B16" s="15">
        <f>B14/$E$14</f>
        <v/>
      </c>
      <c r="C16" s="15">
        <f>C14/$E$14</f>
        <v/>
      </c>
      <c r="D16" s="15">
        <f>D14/$E$14</f>
        <v/>
      </c>
    </row>
    <row r="17">
      <c r="A17" s="5" t="inlineStr">
        <is>
          <t>Target</t>
        </is>
      </c>
      <c r="B17" s="5" t="inlineStr">
        <is>
          <t>about 70%</t>
        </is>
      </c>
      <c r="C17" s="5" t="inlineStr">
        <is>
          <t>10% - 15%</t>
        </is>
      </c>
      <c r="D17" s="5" t="inlineStr">
        <is>
          <t>15% - 20%</t>
        </is>
      </c>
    </row>
    <row r="18">
      <c r="A18" s="4" t="inlineStr">
        <is>
          <t>Within target?</t>
        </is>
      </c>
      <c r="B18" s="4">
        <f>IF(AND(B16&gt;=0.65,B16&lt;=0.75),"Yes","Check")</f>
        <v/>
      </c>
      <c r="C18" s="4">
        <f>IF(AND(C16&gt;=0.1,C16&lt;=0.15),"Yes","Check")</f>
        <v/>
      </c>
      <c r="D18" s="4">
        <f>IF(AND(D16&gt;=0.15,D16&lt;=0.2),"Yes","Check")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9" customWidth="1" min="3" max="3"/>
    <col width="14" customWidth="1" min="4" max="4"/>
    <col width="50" customWidth="1" min="5" max="5"/>
  </cols>
  <sheetData>
    <row r="1">
      <c r="A1" s="7" t="inlineStr">
        <is>
          <t>Pain Point Coverage</t>
        </is>
      </c>
    </row>
    <row r="2">
      <c r="A2" s="2" t="inlineStr">
        <is>
          <t>Every pain point from the BRD is covered by at least one requirement.</t>
        </is>
      </c>
    </row>
    <row r="4">
      <c r="A4" s="8" t="inlineStr">
        <is>
          <t>Pain Point</t>
        </is>
      </c>
      <c r="B4" s="8" t="inlineStr">
        <is>
          <t>Description</t>
        </is>
      </c>
      <c r="C4" s="8" t="inlineStr">
        <is>
          <t>Impact</t>
        </is>
      </c>
      <c r="D4" s="8" t="inlineStr">
        <is>
          <t>Requirements</t>
        </is>
      </c>
      <c r="E4" s="8" t="inlineStr">
        <is>
          <t>Requirement IDs</t>
        </is>
      </c>
    </row>
    <row r="5">
      <c r="A5" s="9" t="inlineStr">
        <is>
          <t>PP-01</t>
        </is>
      </c>
      <c r="B5" s="10" t="inlineStr">
        <is>
          <t>Landed costs (freight, duties, clearance, insurance) are not added to item cost; margins are overstated</t>
        </is>
      </c>
      <c r="C5" s="9" t="inlineStr">
        <is>
          <t>High</t>
        </is>
      </c>
      <c r="D5" s="11">
        <f>COUNTIF(RTM!$E$5:$E$74,"*"&amp;A5&amp;"*")</f>
        <v/>
      </c>
      <c r="E5" s="10" t="inlineStr">
        <is>
          <t>BR-SAL-09, BR-PUR-05, BR-PUR-06, BR-PUR-09, BR-INV-08, BR-MRP-03, BR-ACC-12</t>
        </is>
      </c>
    </row>
    <row r="6">
      <c r="A6" s="9" t="inlineStr">
        <is>
          <t>PP-02</t>
        </is>
      </c>
      <c r="B6" s="10" t="inlineStr">
        <is>
          <t>Price lists are updated manually in Excel after USD changes; customers get outdated or inconsistent prices</t>
        </is>
      </c>
      <c r="C6" s="9" t="inlineStr">
        <is>
          <t>High</t>
        </is>
      </c>
      <c r="D6" s="11">
        <f>COUNTIF(RTM!$E$5:$E$74,"*"&amp;A6&amp;"*")</f>
        <v/>
      </c>
      <c r="E6" s="9" t="inlineStr">
        <is>
          <t>BR-SAL-01, BR-SAL-02, BR-SAL-05, BR-ACC-03, BR-GEN-03</t>
        </is>
      </c>
    </row>
    <row r="7">
      <c r="A7" s="9" t="inlineStr">
        <is>
          <t>PP-03</t>
        </is>
      </c>
      <c r="B7" s="10" t="inlineStr">
        <is>
          <t>Frequent stock-outs on fast movers and overstock on slow items; no min/max rules; long import lead times</t>
        </is>
      </c>
      <c r="C7" s="9" t="inlineStr">
        <is>
          <t>High</t>
        </is>
      </c>
      <c r="D7" s="11">
        <f>COUNTIF(RTM!$E$5:$E$74,"*"&amp;A7&amp;"*")</f>
        <v/>
      </c>
      <c r="E7" s="10" t="inlineStr">
        <is>
          <t>BR-PUR-01, BR-PUR-06, BR-PUR-07, BR-PUR-08, BR-INV-05, BR-MRP-04</t>
        </is>
      </c>
    </row>
    <row r="8">
      <c r="A8" s="9" t="inlineStr">
        <is>
          <t>PP-04</t>
        </is>
      </c>
      <c r="B8" s="10" t="inlineStr">
        <is>
          <t>No real-time stock visibility across 5 warehouses and the showroom; sales confirm availability by phone</t>
        </is>
      </c>
      <c r="C8" s="9" t="inlineStr">
        <is>
          <t>High</t>
        </is>
      </c>
      <c r="D8" s="11">
        <f>COUNTIF(RTM!$E$5:$E$74,"*"&amp;A8&amp;"*")</f>
        <v/>
      </c>
      <c r="E8" s="10" t="inlineStr">
        <is>
          <t>BR-INV-01, BR-INV-02, BR-INV-03, BR-INV-04, BR-INV-05, BR-INV-09, BR-GEN-05</t>
        </is>
      </c>
    </row>
    <row r="9">
      <c r="A9" s="9" t="inlineStr">
        <is>
          <t>PP-05</t>
        </is>
      </c>
      <c r="B9" s="10" t="inlineStr">
        <is>
          <t>Cost of assembled products is unknown; component consumption, labour and scrap are not recorded</t>
        </is>
      </c>
      <c r="C9" s="9" t="inlineStr">
        <is>
          <t>High</t>
        </is>
      </c>
      <c r="D9" s="11">
        <f>COUNTIF(RTM!$E$5:$E$74,"*"&amp;A9&amp;"*")</f>
        <v/>
      </c>
      <c r="E9" s="10" t="inlineStr">
        <is>
          <t>BR-INV-10, BR-MRP-01, BR-MRP-02, BR-MRP-03, BR-MRP-06, BR-MRP-07, BR-MRP-08</t>
        </is>
      </c>
    </row>
    <row r="10">
      <c r="A10" s="9" t="inlineStr">
        <is>
          <t>PP-06</t>
        </is>
      </c>
      <c r="B10" s="10" t="inlineStr">
        <is>
          <t>No serial-number traceability for warranty claims and customer returns</t>
        </is>
      </c>
      <c r="C10" s="9" t="inlineStr">
        <is>
          <t>Medium</t>
        </is>
      </c>
      <c r="D10" s="11">
        <f>COUNTIF(RTM!$E$5:$E$74,"*"&amp;A10&amp;"*")</f>
        <v/>
      </c>
      <c r="E10" s="10" t="inlineStr">
        <is>
          <t>BR-POS-03, BR-INV-06, BR-INV-07, BR-INV-11, BR-MRP-05, BR-GEN-06</t>
        </is>
      </c>
    </row>
    <row r="11">
      <c r="A11" s="9" t="inlineStr">
        <is>
          <t>PP-07</t>
        </is>
      </c>
      <c r="B11" s="10" t="inlineStr">
        <is>
          <t>Receivables and post-dated cheques tracked in Excel; credit limits not enforced; overdue balances grow</t>
        </is>
      </c>
      <c r="C11" s="9" t="inlineStr">
        <is>
          <t>High</t>
        </is>
      </c>
      <c r="D11" s="11">
        <f>COUNTIF(RTM!$E$5:$E$74,"*"&amp;A11&amp;"*")</f>
        <v/>
      </c>
      <c r="E11" s="9" t="inlineStr">
        <is>
          <t>BR-SAL-03, BR-SAL-04, BR-ACC-05, BR-ACC-06</t>
        </is>
      </c>
    </row>
    <row r="12">
      <c r="A12" s="9" t="inlineStr">
        <is>
          <t>PP-08</t>
        </is>
      </c>
      <c r="B12" s="10" t="inlineStr">
        <is>
          <t>Leads from exhibitions, phone and WhatsApp are lost; no pipeline or follow-up</t>
        </is>
      </c>
      <c r="C12" s="9" t="inlineStr">
        <is>
          <t>Medium</t>
        </is>
      </c>
      <c r="D12" s="11">
        <f>COUNTIF(RTM!$E$5:$E$74,"*"&amp;A12&amp;"*")</f>
        <v/>
      </c>
      <c r="E12" s="9" t="inlineStr">
        <is>
          <t>BR-CRM-01, BR-CRM-02, BR-CRM-03, BR-CRM-04</t>
        </is>
      </c>
    </row>
    <row r="13">
      <c r="A13" s="9" t="inlineStr">
        <is>
          <t>PP-09</t>
        </is>
      </c>
      <c r="B13" s="10" t="inlineStr">
        <is>
          <t>No profitability by business line (trading, manufacturing, services) or by branch</t>
        </is>
      </c>
      <c r="C13" s="9" t="inlineStr">
        <is>
          <t>High</t>
        </is>
      </c>
      <c r="D13" s="11">
        <f>COUNTIF(RTM!$E$5:$E$74,"*"&amp;A13&amp;"*")</f>
        <v/>
      </c>
      <c r="E13" s="10" t="inlineStr">
        <is>
          <t>BR-CRM-05, BR-SAL-07, BR-SAL-09, BR-SAL-10, BR-ACC-01, BR-ACC-07, BR-GEN-04</t>
        </is>
      </c>
    </row>
    <row r="14">
      <c r="A14" s="9" t="inlineStr">
        <is>
          <t>PP-10</t>
        </is>
      </c>
      <c r="B14" s="10" t="inlineStr">
        <is>
          <t>Month-end close takes about 15 working days; data re-keyed between separate files and the legacy accounting package</t>
        </is>
      </c>
      <c r="C14" s="9" t="inlineStr">
        <is>
          <t>High</t>
        </is>
      </c>
      <c r="D14" s="11">
        <f>COUNTIF(RTM!$E$5:$E$74,"*"&amp;A14&amp;"*")</f>
        <v/>
      </c>
      <c r="E14" s="10" t="inlineStr">
        <is>
          <t>BR-SAL-06, BR-PUR-04, BR-INV-08, BR-ACC-04, BR-ACC-09, BR-ACC-10, BR-ACC-11, BR-GEN-01</t>
        </is>
      </c>
    </row>
    <row r="15">
      <c r="A15" s="9" t="inlineStr">
        <is>
          <t>PP-11</t>
        </is>
      </c>
      <c r="B15" s="10" t="inlineStr">
        <is>
          <t>Showroom uses a standalone cashier program; stock and accounting are updated manually</t>
        </is>
      </c>
      <c r="C15" s="9" t="inlineStr">
        <is>
          <t>Medium</t>
        </is>
      </c>
      <c r="D15" s="11">
        <f>COUNTIF(RTM!$E$5:$E$74,"*"&amp;A15&amp;"*")</f>
        <v/>
      </c>
      <c r="E15" s="9" t="inlineStr">
        <is>
          <t>BR-POS-01, BR-POS-02, BR-POS-04</t>
        </is>
      </c>
    </row>
    <row r="16">
      <c r="A16" s="9" t="inlineStr">
        <is>
          <t>PP-12</t>
        </is>
      </c>
      <c r="B16" s="10" t="inlineStr">
        <is>
          <t>Purchase and payment approvals happen on paper or WhatsApp with no audit trail</t>
        </is>
      </c>
      <c r="C16" s="9" t="inlineStr">
        <is>
          <t>Medium</t>
        </is>
      </c>
      <c r="D16" s="11">
        <f>COUNTIF(RTM!$E$5:$E$74,"*"&amp;A16&amp;"*")</f>
        <v/>
      </c>
      <c r="E16" s="9" t="inlineStr">
        <is>
          <t>BR-PUR-02, BR-PUR-03, BR-ACC-08, BR-GEN-02</t>
        </is>
      </c>
    </row>
    <row r="17">
      <c r="A17" s="9" t="inlineStr">
        <is>
          <t>PP-13</t>
        </is>
      </c>
      <c r="B17" s="9" t="inlineStr">
        <is>
          <t>Employee data is scattered; leave requests are on paper</t>
        </is>
      </c>
      <c r="C17" s="9" t="inlineStr">
        <is>
          <t>Low</t>
        </is>
      </c>
      <c r="D17" s="11">
        <f>COUNTIF(RTM!$E$5:$E$74,"*"&amp;A17&amp;"*")</f>
        <v/>
      </c>
      <c r="E17" s="9" t="inlineStr">
        <is>
          <t>BR-HR-01, BR-HR-02, BR-HR-03</t>
        </is>
      </c>
    </row>
    <row r="18">
      <c r="A18" s="9" t="inlineStr">
        <is>
          <t>PP-14</t>
        </is>
      </c>
      <c r="B18" s="9" t="inlineStr">
        <is>
          <t>Shared logins and no segregation of duties in current tools</t>
        </is>
      </c>
      <c r="C18" s="9" t="inlineStr">
        <is>
          <t>Medium</t>
        </is>
      </c>
      <c r="D18" s="11">
        <f>COUNTIF(RTM!$E$5:$E$74,"*"&amp;A18&amp;"*")</f>
        <v/>
      </c>
      <c r="E18" s="9" t="inlineStr">
        <is>
          <t>BR-CRM-02, BR-POS-05, BR-INV-09, BR-HR-04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6" customWidth="1" min="3" max="3"/>
    <col width="46" customWidth="1" min="4" max="4"/>
    <col width="23" customWidth="1" min="5" max="5"/>
    <col width="15" customWidth="1" min="6" max="6"/>
  </cols>
  <sheetData>
    <row r="1">
      <c r="A1" s="7" t="inlineStr">
        <is>
          <t>Customization Register</t>
        </is>
      </c>
    </row>
    <row r="2">
      <c r="A2" s="2" t="inlineStr">
        <is>
          <t>Estimated effort in consultant days (input for the Financial Proposal).</t>
        </is>
      </c>
    </row>
    <row r="4">
      <c r="A4" s="8" t="inlineStr">
        <is>
          <t>Req. ID</t>
        </is>
      </c>
      <c r="B4" s="8" t="inlineStr">
        <is>
          <t>Module</t>
        </is>
      </c>
      <c r="C4" s="8" t="inlineStr">
        <is>
          <t>Requirement</t>
        </is>
      </c>
      <c r="D4" s="8" t="inlineStr">
        <is>
          <t>Design</t>
        </is>
      </c>
      <c r="E4" s="8" t="inlineStr">
        <is>
          <t>Technique</t>
        </is>
      </c>
      <c r="F4" s="8" t="inlineStr">
        <is>
          <t>Effort (days)</t>
        </is>
      </c>
    </row>
    <row r="5">
      <c r="A5" s="9" t="inlineStr">
        <is>
          <t>BR-CRM-05</t>
        </is>
      </c>
      <c r="B5" s="9" t="inlineStr">
        <is>
          <t>CRM</t>
        </is>
      </c>
      <c r="C5" s="9" t="inlineStr">
        <is>
          <t>Monthly revenue target per salesperson with achievement %</t>
        </is>
      </c>
      <c r="D5" s="9" t="inlineStr">
        <is>
          <t>Target field per salesperson + achievement report (Studio)</t>
        </is>
      </c>
      <c r="E5" s="9" t="inlineStr">
        <is>
          <t>Studio</t>
        </is>
      </c>
      <c r="F5" s="16" t="n">
        <v>1</v>
      </c>
    </row>
    <row r="6">
      <c r="A6" s="9" t="inlineStr">
        <is>
          <t>BR-SAL-04</t>
        </is>
      </c>
      <c r="B6" s="9" t="inlineStr">
        <is>
          <t>Sales</t>
        </is>
      </c>
      <c r="C6" s="10" t="inlineStr">
        <is>
          <t>Block confirmation of orders above credit limit unless the Finance Manager approves</t>
        </is>
      </c>
      <c r="D6" s="10" t="inlineStr">
        <is>
          <t>Approval check on order confirmation (Studio approval rule / small module)</t>
        </is>
      </c>
      <c r="E6" s="9" t="inlineStr">
        <is>
          <t>Studio approval rule</t>
        </is>
      </c>
      <c r="F6" s="16" t="n">
        <v>1.5</v>
      </c>
    </row>
    <row r="7">
      <c r="A7" s="9" t="inlineStr">
        <is>
          <t>BR-SAL-05</t>
        </is>
      </c>
      <c r="B7" s="9" t="inlineStr">
        <is>
          <t>Sales</t>
        </is>
      </c>
      <c r="C7" s="9" t="inlineStr">
        <is>
          <t>Discounts above 10% require Sales Manager approval</t>
        </is>
      </c>
      <c r="D7" s="9" t="inlineStr">
        <is>
          <t>Approval rule on discount (Studio)</t>
        </is>
      </c>
      <c r="E7" s="9" t="inlineStr">
        <is>
          <t>Studio approval rule</t>
        </is>
      </c>
      <c r="F7" s="16" t="n">
        <v>1</v>
      </c>
    </row>
    <row r="8">
      <c r="A8" s="9" t="inlineStr">
        <is>
          <t>BR-SAL-08</t>
        </is>
      </c>
      <c r="B8" s="9" t="inlineStr">
        <is>
          <t>Sales</t>
        </is>
      </c>
      <c r="C8" s="10" t="inlineStr">
        <is>
          <t>Bilingual (Arabic / English) tax invoice showing tax registration numbers</t>
        </is>
      </c>
      <c r="D8" s="9" t="inlineStr">
        <is>
          <t>Customized invoice report (QWeb)</t>
        </is>
      </c>
      <c r="E8" s="9" t="inlineStr">
        <is>
          <t>QWeb report</t>
        </is>
      </c>
      <c r="F8" s="16" t="n">
        <v>2</v>
      </c>
    </row>
    <row r="9">
      <c r="A9" s="9" t="inlineStr">
        <is>
          <t>BR-SAL-10</t>
        </is>
      </c>
      <c r="B9" s="9" t="inlineStr">
        <is>
          <t>Sales</t>
        </is>
      </c>
      <c r="C9" s="10" t="inlineStr">
        <is>
          <t>Sales commission report per salesperson based on collected invoices</t>
        </is>
      </c>
      <c r="D9" s="9" t="inlineStr">
        <is>
          <t>Custom report (collected invoices x commission rate)</t>
        </is>
      </c>
      <c r="E9" s="9" t="inlineStr">
        <is>
          <t>Custom report</t>
        </is>
      </c>
      <c r="F9" s="16" t="n">
        <v>2</v>
      </c>
    </row>
    <row r="10">
      <c r="A10" s="9" t="inlineStr">
        <is>
          <t>BR-PUR-06</t>
        </is>
      </c>
      <c r="B10" s="9" t="inlineStr">
        <is>
          <t>Purchase</t>
        </is>
      </c>
      <c r="C10" s="10" t="inlineStr">
        <is>
          <t>Track container number, bill of lading and ETA on import POs and receipts</t>
        </is>
      </c>
      <c r="D10" s="9" t="inlineStr">
        <is>
          <t>Custom fields on PO and receipt (Studio)</t>
        </is>
      </c>
      <c r="E10" s="9" t="inlineStr">
        <is>
          <t>Studio fields</t>
        </is>
      </c>
      <c r="F10" s="16" t="n">
        <v>0.5</v>
      </c>
    </row>
    <row r="11">
      <c r="A11" s="9" t="inlineStr">
        <is>
          <t>BR-PUR-09</t>
        </is>
      </c>
      <c r="B11" s="9" t="inlineStr">
        <is>
          <t>Purchase</t>
        </is>
      </c>
      <c r="C11" s="10" t="inlineStr">
        <is>
          <t>Import shipment cost sheet: FOB, freight, duties, clearance and landed cost per unit per container</t>
        </is>
      </c>
      <c r="D11" s="9" t="inlineStr">
        <is>
          <t>Custom report on landed costs</t>
        </is>
      </c>
      <c r="E11" s="9" t="inlineStr">
        <is>
          <t>Custom report</t>
        </is>
      </c>
      <c r="F11" s="16" t="n">
        <v>2</v>
      </c>
    </row>
    <row r="12">
      <c r="A12" s="9" t="inlineStr">
        <is>
          <t>BR-INV-07</t>
        </is>
      </c>
      <c r="B12" s="9" t="inlineStr">
        <is>
          <t>Inventory</t>
        </is>
      </c>
      <c r="C12" s="10" t="inlineStr">
        <is>
          <t>Warranty end date per serial number calculated from the delivery date</t>
        </is>
      </c>
      <c r="D12" s="10" t="inlineStr">
        <is>
          <t>Warranty months on product + computed field on serial (Studio)</t>
        </is>
      </c>
      <c r="E12" s="9" t="inlineStr">
        <is>
          <t>Studio computed field</t>
        </is>
      </c>
      <c r="F12" s="16" t="n">
        <v>1.5</v>
      </c>
    </row>
    <row r="13">
      <c r="A13" s="9" t="inlineStr">
        <is>
          <t>BR-GEN-03</t>
        </is>
      </c>
      <c r="B13" s="9" t="inlineStr">
        <is>
          <t>Cross-functional</t>
        </is>
      </c>
      <c r="C13" s="9" t="inlineStr">
        <is>
          <t>History of product price changes</t>
        </is>
      </c>
      <c r="D13" s="9" t="inlineStr">
        <is>
          <t>Field tracking on sales price and cost (Studio)</t>
        </is>
      </c>
      <c r="E13" s="9" t="inlineStr">
        <is>
          <t>Studio tracking</t>
        </is>
      </c>
      <c r="F13" s="16" t="n">
        <v>0.5</v>
      </c>
    </row>
    <row r="14">
      <c r="A14" s="9" t="inlineStr">
        <is>
          <t>BR-GEN-05</t>
        </is>
      </c>
      <c r="B14" s="9" t="inlineStr">
        <is>
          <t>Cross-functional</t>
        </is>
      </c>
      <c r="C14" s="9" t="inlineStr">
        <is>
          <t>Assign delivery drivers and print a daily trip sheet</t>
        </is>
      </c>
      <c r="D14" s="9" t="inlineStr">
        <is>
          <t>Driver field on delivery + trip-sheet report</t>
        </is>
      </c>
      <c r="E14" s="9" t="inlineStr">
        <is>
          <t>Studio field + report</t>
        </is>
      </c>
      <c r="F14" s="16" t="n">
        <v>1.5</v>
      </c>
    </row>
    <row r="15">
      <c r="A15" s="9" t="inlineStr">
        <is>
          <t>BR-GEN-06</t>
        </is>
      </c>
      <c r="B15" s="9" t="inlineStr">
        <is>
          <t>Cross-functional</t>
        </is>
      </c>
      <c r="C15" s="10" t="inlineStr">
        <is>
          <t>Bilingual delivery note and transfer documents with serial numbers and signature box</t>
        </is>
      </c>
      <c r="D15" s="9" t="inlineStr">
        <is>
          <t>Customized delivery report (QWeb)</t>
        </is>
      </c>
      <c r="E15" s="9" t="inlineStr">
        <is>
          <t>QWeb report</t>
        </is>
      </c>
      <c r="F15" s="16" t="n">
        <v>1.5</v>
      </c>
    </row>
    <row r="16">
      <c r="A16" s="13" t="inlineStr">
        <is>
          <t>Total</t>
        </is>
      </c>
      <c r="B16" s="17" t="n"/>
      <c r="C16" s="17" t="n"/>
      <c r="D16" s="17" t="n"/>
      <c r="E16" s="17" t="n"/>
      <c r="F16" s="18">
        <f>SUM(F5:F15)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6" customWidth="1" min="3" max="3"/>
    <col width="60" customWidth="1" min="4" max="4"/>
  </cols>
  <sheetData>
    <row r="1">
      <c r="A1" s="7" t="inlineStr">
        <is>
          <t>Workaround Register</t>
        </is>
      </c>
    </row>
    <row r="2">
      <c r="A2" s="2" t="inlineStr">
        <is>
          <t>Needs met with standard features used in a specific way - documented for training and the user guides.</t>
        </is>
      </c>
    </row>
    <row r="4">
      <c r="A4" s="8" t="inlineStr">
        <is>
          <t>Req. ID</t>
        </is>
      </c>
      <c r="B4" s="8" t="inlineStr">
        <is>
          <t>Module</t>
        </is>
      </c>
      <c r="C4" s="8" t="inlineStr">
        <is>
          <t>Requirement</t>
        </is>
      </c>
      <c r="D4" s="8" t="inlineStr">
        <is>
          <t>Workaround</t>
        </is>
      </c>
    </row>
    <row r="5">
      <c r="A5" s="9" t="inlineStr">
        <is>
          <t>BR-POS-05</t>
        </is>
      </c>
      <c r="B5" s="9" t="inlineStr">
        <is>
          <t>POS</t>
        </is>
      </c>
      <c r="C5" s="9" t="inlineStr">
        <is>
          <t>Refunds only by the Showroom Supervisor</t>
        </is>
      </c>
      <c r="D5" s="10" t="inlineStr">
        <is>
          <t>Refunds done by POS Administrator; cashiers use employee login</t>
        </is>
      </c>
    </row>
    <row r="6">
      <c r="A6" s="9" t="inlineStr">
        <is>
          <t>BR-PUR-03</t>
        </is>
      </c>
      <c r="B6" s="9" t="inlineStr">
        <is>
          <t>Purchase</t>
        </is>
      </c>
      <c r="C6" s="9" t="inlineStr">
        <is>
          <t>All overseas (USD) POs approved by the General Manager</t>
        </is>
      </c>
      <c r="D6" s="9" t="inlineStr">
        <is>
          <t>GM confirms overseas POs with Purchase Administrator rights</t>
        </is>
      </c>
    </row>
    <row r="7">
      <c r="A7" s="9" t="inlineStr">
        <is>
          <t>BR-INV-10</t>
        </is>
      </c>
      <c r="B7" s="9" t="inlineStr">
        <is>
          <t>Inventory</t>
        </is>
      </c>
      <c r="C7" s="10" t="inlineStr">
        <is>
          <t>Scrap recording; scrap above 10,000 EGP reviewed by the Production Manager</t>
        </is>
      </c>
      <c r="D7" s="9" t="inlineStr">
        <is>
          <t>Scrap orders + weekly scrap report review</t>
        </is>
      </c>
    </row>
    <row r="8">
      <c r="A8" s="9" t="inlineStr">
        <is>
          <t>BR-MRP-07</t>
        </is>
      </c>
      <c r="B8" s="9" t="inlineStr">
        <is>
          <t>Manufacturing</t>
        </is>
      </c>
      <c r="C8" s="9" t="inlineStr">
        <is>
          <t>Quality check before finished goods move to stock</t>
        </is>
      </c>
      <c r="D8" s="10" t="inlineStr">
        <is>
          <t>QC operation in the routing + inspector sign-off (Quality app not in scope)</t>
        </is>
      </c>
    </row>
    <row r="9">
      <c r="A9" s="9" t="inlineStr">
        <is>
          <t>BR-MRP-08</t>
        </is>
      </c>
      <c r="B9" s="9" t="inlineStr">
        <is>
          <t>Manufacturing</t>
        </is>
      </c>
      <c r="C9" s="10" t="inlineStr">
        <is>
          <t>Production performance: planned vs actual time and cost variance</t>
        </is>
      </c>
      <c r="D9" s="9" t="inlineStr">
        <is>
          <t>Work order analysis + MO cost comparison</t>
        </is>
      </c>
    </row>
    <row r="10">
      <c r="A10" s="9" t="inlineStr">
        <is>
          <t>BR-ACC-05</t>
        </is>
      </c>
      <c r="B10" s="9" t="inlineStr">
        <is>
          <t>Accounting</t>
        </is>
      </c>
      <c r="C10" s="10" t="inlineStr">
        <is>
          <t>Post-dated cheques received and issued tracked until collection</t>
        </is>
      </c>
      <c r="D10" s="10" t="inlineStr">
        <is>
          <t>Notes receivable / payable accounts (110300, 212100) with maturity date in reference</t>
        </is>
      </c>
    </row>
    <row r="11">
      <c r="A11" s="9" t="inlineStr">
        <is>
          <t>BR-ACC-08</t>
        </is>
      </c>
      <c r="B11" s="9" t="inlineStr">
        <is>
          <t>Accounting</t>
        </is>
      </c>
      <c r="C11" s="10" t="inlineStr">
        <is>
          <t>Payments above 500,000 EGP posted only by the Finance Manager</t>
        </is>
      </c>
      <c r="D11" s="9" t="inlineStr">
        <is>
          <t>Treasurer drafts payments; Finance Manager posts</t>
        </is>
      </c>
    </row>
    <row r="12">
      <c r="A12" s="9" t="inlineStr">
        <is>
          <t>BR-GEN-04</t>
        </is>
      </c>
      <c r="B12" s="9" t="inlineStr">
        <is>
          <t>Cross-functional</t>
        </is>
      </c>
      <c r="C12" s="10" t="inlineStr">
        <is>
          <t>Management dashboard: sales vs target, stock value, overdue receivables</t>
        </is>
      </c>
      <c r="D12" s="9" t="inlineStr">
        <is>
          <t>Standard reports saved to a dashboard / spreadsheet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2026-10-25T12:45:45Z</dcterms:created>
  <dcterms:modified xmlns:dcterms="http://purl.org/dc/terms/" xmlns:xsi="http://www.w3.org/2001/XMLSchema-instance" xsi:type="dcterms:W3CDTF">2026-10-25T12:45:45Z</dcterms:modified>
</cp:coreProperties>
</file>