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Customers" sheetId="2" state="visible" r:id="rId4"/>
    <sheet name="Vendors" sheetId="3" state="visible" r:id="rId5"/>
    <sheet name="Payment Terms" sheetId="4" state="visible" r:id="rId6"/>
    <sheet name="Sales Teams" sheetId="5" state="visible" r:id="rId7"/>
    <sheet name="CRM Pipeline" sheetId="6" state="visible" r:id="rId8"/>
    <sheet name="Approvals Matrix" sheetId="7" state="visible" r:id="rId9"/>
    <sheet name="Cycle - Order to Cash" sheetId="8" state="visible" r:id="rId10"/>
    <sheet name="Cycle - Procure to Pay" sheetId="9" state="visible" r:id="rId11"/>
    <sheet name="Cycle - Manufacturing" sheetId="10" state="visible" r:id="rId12"/>
    <sheet name="Cycle - Warehouse Operations" sheetId="11" state="visible" r:id="rId13"/>
    <sheet name="Cycle - POS Daily" sheetId="12" state="visible" r:id="rId14"/>
    <sheet name="Cycle - Journal to F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<sst xmlns="http://schemas.openxmlformats.org/spreadsheetml/2006/main" count="980" uniqueCount="509">
  <si>
    <t xml:space="preserve">Partners and Operations Cycles</t>
  </si>
  <si>
    <t xml:space="preserve">Beitak Smart - Odoo implementation | Entity data (GAWF). Fictional project data; assumptions on the last rows.</t>
  </si>
  <si>
    <t xml:space="preserve">Sheet</t>
  </si>
  <si>
    <t xml:space="preserve">Content</t>
  </si>
  <si>
    <t xml:space="preserve">Instructor requirement</t>
  </si>
  <si>
    <t xml:space="preserve">Customers</t>
  </si>
  <si>
    <t xml:space="preserve">18 customers with terms, credit limits, balances</t>
  </si>
  <si>
    <t xml:space="preserve">Entity Data 8 - Chart of Customers</t>
  </si>
  <si>
    <t xml:space="preserve">Vendors</t>
  </si>
  <si>
    <t xml:space="preserve">14 vendors with currency, terms, incoterms, balances</t>
  </si>
  <si>
    <t xml:space="preserve">Entity Data 9 - Chart of Vendors</t>
  </si>
  <si>
    <t xml:space="preserve">Payment Terms</t>
  </si>
  <si>
    <t xml:space="preserve">Terms used and counts</t>
  </si>
  <si>
    <t xml:space="preserve">Partners chart - Payment Terms</t>
  </si>
  <si>
    <t xml:space="preserve">Sales Teams</t>
  </si>
  <si>
    <t xml:space="preserve">Teams by region</t>
  </si>
  <si>
    <t xml:space="preserve">Sales / CRM</t>
  </si>
  <si>
    <t xml:space="preserve">CRM Pipeline</t>
  </si>
  <si>
    <t xml:space="preserve">Sample opportunities</t>
  </si>
  <si>
    <t xml:space="preserve">CRM</t>
  </si>
  <si>
    <t xml:space="preserve">Approvals Matrix</t>
  </si>
  <si>
    <t xml:space="preserve">Approval rules and Odoo mechanism</t>
  </si>
  <si>
    <t xml:space="preserve">Entity Data 14 - Chart of Approvals / Approval Cycle</t>
  </si>
  <si>
    <t xml:space="preserve">Cycle - Order to Cash</t>
  </si>
  <si>
    <t xml:space="preserve">Sales cycle</t>
  </si>
  <si>
    <t xml:space="preserve">Entity Data 15 - Sales Cycle</t>
  </si>
  <si>
    <t xml:space="preserve">Cycle - Procure to Pay</t>
  </si>
  <si>
    <t xml:space="preserve">Procurement cycle</t>
  </si>
  <si>
    <t xml:space="preserve">Entity Data 15 - Procurement Cycle</t>
  </si>
  <si>
    <t xml:space="preserve">Cycle - Manufacturing</t>
  </si>
  <si>
    <t xml:space="preserve">Fan assembly cycle</t>
  </si>
  <si>
    <t xml:space="preserve">Manufacturing</t>
  </si>
  <si>
    <t xml:space="preserve">Cycle - Warehouse Operations</t>
  </si>
  <si>
    <t xml:space="preserve">Warehouse cycle</t>
  </si>
  <si>
    <t xml:space="preserve">Entity Data 15 - Warehouse Operation Cycle</t>
  </si>
  <si>
    <t xml:space="preserve">Cycle - POS Daily</t>
  </si>
  <si>
    <t xml:space="preserve">Showroom POS cycle</t>
  </si>
  <si>
    <t xml:space="preserve">POS</t>
  </si>
  <si>
    <t xml:space="preserve">Cycle - Journal to FS</t>
  </si>
  <si>
    <t xml:space="preserve">Financial cycle</t>
  </si>
  <si>
    <t xml:space="preserve">Entity Data 15 - Financial Cycle</t>
  </si>
  <si>
    <t xml:space="preserve">Assumptions</t>
  </si>
  <si>
    <t xml:space="preserve">Odoo version</t>
  </si>
  <si>
    <t xml:space="preserve">Files target Odoo 18/19 field names (type=Goods + is_storable). On Odoo 17 replace 'type'+'is_storable' with 'detailed_type' = product.</t>
  </si>
  <si>
    <t xml:space="preserve">Database</t>
  </si>
  <si>
    <t xml:space="preserve">Designed for a NEW clean database with the Egypt fiscal localization. Importing into the old database will clash with existing account codes and products.</t>
  </si>
  <si>
    <t xml:space="preserve">Exchange rate</t>
  </si>
  <si>
    <t xml:space="preserve">USD/EGP = 50.00 on 2027-01-01. Project assumption, not an official CBE rate.</t>
  </si>
  <si>
    <t xml:space="preserve">Landed costs</t>
  </si>
  <si>
    <t xml:space="preserve">Cost of imported items = FOB price x 50 x 1.10 (about 10% for freight, duties, clearance and insurance). Assumption.</t>
  </si>
  <si>
    <t xml:space="preserve">Sales prices</t>
  </si>
  <si>
    <t xml:space="preserve">Sales prices are VAT-exclusive. VAT 14% comes from the Egypt localization default taxes.</t>
  </si>
  <si>
    <t xml:space="preserve">Costing</t>
  </si>
  <si>
    <t xml:space="preserve">AVCO + automated (perpetual) valuation on all stockable categories. Needed for Landed Costs.</t>
  </si>
  <si>
    <t xml:space="preserve">Opening stock</t>
  </si>
  <si>
    <t xml:space="preserve">Stock is loaded through Physical Inventory with accounting date 2027-01-01. Its counterpart is account 190100 Opening Stock Clearing, which the opening journal entry closes to zero.</t>
  </si>
  <si>
    <t xml:space="preserve">Taxes</t>
  </si>
  <si>
    <t xml:space="preserve">VAT 14% and withholding tax 1% / 2% / 3% (team decision). Rates, categories and thresholds must be reviewed by a tax specialist before go-live.</t>
  </si>
  <si>
    <t xml:space="preserve">Personal data</t>
  </si>
  <si>
    <t xml:space="preserve">All names, emails, phones, tax IDs and bank numbers are fictional placeholders (.example domains).</t>
  </si>
  <si>
    <t xml:space="preserve">Chart of Customers</t>
  </si>
  <si>
    <t xml:space="preserve">Payment method and delivery terms are documented here; terms, pricelist, credit limit and accounts are imported (12_Customers.xlsx).</t>
  </si>
  <si>
    <t xml:space="preserve">Code</t>
  </si>
  <si>
    <t xml:space="preserve">Customer</t>
  </si>
  <si>
    <t xml:space="preserve">Type</t>
  </si>
  <si>
    <t xml:space="preserve">City</t>
  </si>
  <si>
    <t xml:space="preserve">Sales Team</t>
  </si>
  <si>
    <t xml:space="preserve">Price List</t>
  </si>
  <si>
    <t xml:space="preserve">Credit Limit</t>
  </si>
  <si>
    <t xml:space="preserve">Receivable Acc.</t>
  </si>
  <si>
    <t xml:space="preserve">Payment Method</t>
  </si>
  <si>
    <t xml:space="preserve">Delivery Terms</t>
  </si>
  <si>
    <t xml:space="preserve">Opening AR</t>
  </si>
  <si>
    <t xml:space="preserve">Opening Cheques</t>
  </si>
  <si>
    <t xml:space="preserve">Total Exposure</t>
  </si>
  <si>
    <t xml:space="preserve">Credit Headroom</t>
  </si>
  <si>
    <t xml:space="preserve">CUS-001</t>
  </si>
  <si>
    <t xml:space="preserve">El Nour Electronics Stores</t>
  </si>
  <si>
    <t xml:space="preserve">Retailer</t>
  </si>
  <si>
    <t xml:space="preserve">Cairo</t>
  </si>
  <si>
    <t xml:space="preserve">Cairo &amp; Giza B2B</t>
  </si>
  <si>
    <t xml:space="preserve">Wholesale - Retailers</t>
  </si>
  <si>
    <t xml:space="preserve">30 Days</t>
  </si>
  <si>
    <t xml:space="preserve">110100</t>
  </si>
  <si>
    <t xml:space="preserve">Bank transfer / post-dated cheques</t>
  </si>
  <si>
    <t xml:space="preserve">Delivered to customer store by our fleet (DAP)</t>
  </si>
  <si>
    <t xml:space="preserve">CUS-002</t>
  </si>
  <si>
    <t xml:space="preserve">Al Safa Home Appliances</t>
  </si>
  <si>
    <t xml:space="preserve">Giza</t>
  </si>
  <si>
    <t xml:space="preserve">CUS-003</t>
  </si>
  <si>
    <t xml:space="preserve">Heliopolis Appliances Center</t>
  </si>
  <si>
    <t xml:space="preserve">15 Days</t>
  </si>
  <si>
    <t xml:space="preserve">CUS-004</t>
  </si>
  <si>
    <t xml:space="preserve">Maadi Home Center</t>
  </si>
  <si>
    <t xml:space="preserve">CUS-005</t>
  </si>
  <si>
    <t xml:space="preserve">Alex Home Center</t>
  </si>
  <si>
    <t xml:space="preserve">Alexandria</t>
  </si>
  <si>
    <t xml:space="preserve">Alexandria B2B</t>
  </si>
  <si>
    <t xml:space="preserve">CUS-006</t>
  </si>
  <si>
    <t xml:space="preserve">Bahary Electronics</t>
  </si>
  <si>
    <t xml:space="preserve">CUS-007</t>
  </si>
  <si>
    <t xml:space="preserve">Delta Appliances Mall</t>
  </si>
  <si>
    <t xml:space="preserve">Mansoura</t>
  </si>
  <si>
    <t xml:space="preserve">Delta &amp; Canal B2B</t>
  </si>
  <si>
    <t xml:space="preserve">CUS-008</t>
  </si>
  <si>
    <t xml:space="preserve">Tanta Electric Gallery</t>
  </si>
  <si>
    <t xml:space="preserve">Tanta</t>
  </si>
  <si>
    <t xml:space="preserve">CUS-009</t>
  </si>
  <si>
    <t xml:space="preserve">Canal Electronics</t>
  </si>
  <si>
    <t xml:space="preserve">Ismailia</t>
  </si>
  <si>
    <t xml:space="preserve">CUS-010</t>
  </si>
  <si>
    <t xml:space="preserve">Port Said Home Store</t>
  </si>
  <si>
    <t xml:space="preserve">Port Said</t>
  </si>
  <si>
    <t xml:space="preserve">CUS-011</t>
  </si>
  <si>
    <t xml:space="preserve">Assiut Home Appliances</t>
  </si>
  <si>
    <t xml:space="preserve">Asyut</t>
  </si>
  <si>
    <t xml:space="preserve">Upper Egypt B2B</t>
  </si>
  <si>
    <t xml:space="preserve">45 Days</t>
  </si>
  <si>
    <t xml:space="preserve">CUS-012</t>
  </si>
  <si>
    <t xml:space="preserve">Sohag Electric Center</t>
  </si>
  <si>
    <t xml:space="preserve">Sohag</t>
  </si>
  <si>
    <t xml:space="preserve">CUS-013</t>
  </si>
  <si>
    <t xml:space="preserve">Upper Egypt Distribution Co.</t>
  </si>
  <si>
    <t xml:space="preserve">Distributor</t>
  </si>
  <si>
    <t xml:space="preserve">Distributors</t>
  </si>
  <si>
    <t xml:space="preserve">110200</t>
  </si>
  <si>
    <t xml:space="preserve">Post-dated cheques</t>
  </si>
  <si>
    <t xml:space="preserve">Ex-warehouse - customer collects (EXW)</t>
  </si>
  <si>
    <t xml:space="preserve">CUS-014</t>
  </si>
  <si>
    <t xml:space="preserve">Nile Delta Trading &amp; Distribution</t>
  </si>
  <si>
    <t xml:space="preserve">CUS-015</t>
  </si>
  <si>
    <t xml:space="preserve">Royal Hotels Group</t>
  </si>
  <si>
    <t xml:space="preserve">Corporate</t>
  </si>
  <si>
    <t xml:space="preserve">New Cairo</t>
  </si>
  <si>
    <t xml:space="preserve">Key Accounts &amp; Corporate</t>
  </si>
  <si>
    <t xml:space="preserve">30% Now, Balance 60 Days</t>
  </si>
  <si>
    <t xml:space="preserve">Bank transfer</t>
  </si>
  <si>
    <t xml:space="preserve">Delivered and installed on site</t>
  </si>
  <si>
    <t xml:space="preserve">CUS-016</t>
  </si>
  <si>
    <t xml:space="preserve">Smart Homes Real Estate Development</t>
  </si>
  <si>
    <t xml:space="preserve">6th of October City</t>
  </si>
  <si>
    <t xml:space="preserve">End of Following Month</t>
  </si>
  <si>
    <t xml:space="preserve">CUS-017</t>
  </si>
  <si>
    <t xml:space="preserve">Alexandria Hospitals Network</t>
  </si>
  <si>
    <t xml:space="preserve">CUS-018</t>
  </si>
  <si>
    <t xml:space="preserve">Walk-in Customer (Showroom)</t>
  </si>
  <si>
    <t xml:space="preserve">Walk-in</t>
  </si>
  <si>
    <t xml:space="preserve">Showroom Retail (POS)</t>
  </si>
  <si>
    <t xml:space="preserve">Retail - Showroom</t>
  </si>
  <si>
    <t xml:space="preserve">Immediate Payment</t>
  </si>
  <si>
    <t xml:space="preserve">Cash / card (POS)</t>
  </si>
  <si>
    <t xml:space="preserve">Showroom pickup or paid home delivery</t>
  </si>
  <si>
    <t xml:space="preserve">Total</t>
  </si>
  <si>
    <t xml:space="preserve">Chart of Vendors</t>
  </si>
  <si>
    <t xml:space="preserve">Overseas vendors invoice in USD (opening at the assumed rate). Landed-cost service vendors have no opening balance.</t>
  </si>
  <si>
    <t xml:space="preserve">Vendor</t>
  </si>
  <si>
    <t xml:space="preserve">Country</t>
  </si>
  <si>
    <t xml:space="preserve">Currency</t>
  </si>
  <si>
    <t xml:space="preserve">Payable Acc.</t>
  </si>
  <si>
    <t xml:space="preserve">Delivery Terms (Incoterm)</t>
  </si>
  <si>
    <t xml:space="preserve">Lead Time</t>
  </si>
  <si>
    <t xml:space="preserve">Opening AP (EGP)</t>
  </si>
  <si>
    <t xml:space="preserve">Opening AP (USD)</t>
  </si>
  <si>
    <t xml:space="preserve">PDC Issued</t>
  </si>
  <si>
    <t xml:space="preserve">Total (EGP)</t>
  </si>
  <si>
    <t xml:space="preserve">VEN-001</t>
  </si>
  <si>
    <t xml:space="preserve">Delta Distribution for Home Appliances</t>
  </si>
  <si>
    <t xml:space="preserve">Local Appliance Supplier</t>
  </si>
  <si>
    <t xml:space="preserve">Egypt</t>
  </si>
  <si>
    <t xml:space="preserve">EGP</t>
  </si>
  <si>
    <t xml:space="preserve">211100</t>
  </si>
  <si>
    <t xml:space="preserve">Delivered to Cairo warehouse (DAP)</t>
  </si>
  <si>
    <t xml:space="preserve">VEN-002</t>
  </si>
  <si>
    <t xml:space="preserve">Nile Electronics Trading Co.</t>
  </si>
  <si>
    <t xml:space="preserve">VEN-003</t>
  </si>
  <si>
    <t xml:space="preserve">Egyptian Home Industries Agency</t>
  </si>
  <si>
    <t xml:space="preserve">10th of Ramadan City</t>
  </si>
  <si>
    <t xml:space="preserve">VEN-004</t>
  </si>
  <si>
    <t xml:space="preserve">Egyptian Steel Sheets Co.</t>
  </si>
  <si>
    <t xml:space="preserve">Raw Material Supplier</t>
  </si>
  <si>
    <t xml:space="preserve">VEN-005</t>
  </si>
  <si>
    <t xml:space="preserve">Delta Plastics &amp; Rubber</t>
  </si>
  <si>
    <t xml:space="preserve">Sadat City</t>
  </si>
  <si>
    <t xml:space="preserve">VEN-006</t>
  </si>
  <si>
    <t xml:space="preserve">Misr Copper &amp; Cables</t>
  </si>
  <si>
    <t xml:space="preserve">Shubra El Kheima</t>
  </si>
  <si>
    <t xml:space="preserve">VEN-007</t>
  </si>
  <si>
    <t xml:space="preserve">Cairo Packaging Co.</t>
  </si>
  <si>
    <t xml:space="preserve">Obour City</t>
  </si>
  <si>
    <t xml:space="preserve">VEN-008</t>
  </si>
  <si>
    <t xml:space="preserve">Guangzhou Coolair Appliances Co., Ltd.</t>
  </si>
  <si>
    <t xml:space="preserve">Overseas Supplier</t>
  </si>
  <si>
    <t xml:space="preserve">Guangzhou</t>
  </si>
  <si>
    <t xml:space="preserve">China</t>
  </si>
  <si>
    <t xml:space="preserve">USD</t>
  </si>
  <si>
    <t xml:space="preserve">211200</t>
  </si>
  <si>
    <t xml:space="preserve">Telegraphic transfer (TT) from CIB USD</t>
  </si>
  <si>
    <t xml:space="preserve">FOB Guangzhou - sea freight to Alexandria</t>
  </si>
  <si>
    <t xml:space="preserve">VEN-009</t>
  </si>
  <si>
    <t xml:space="preserve">Shenzhen Brightway Electronics Co., Ltd.</t>
  </si>
  <si>
    <t xml:space="preserve">Shenzhen</t>
  </si>
  <si>
    <t xml:space="preserve">CIF Alexandria</t>
  </si>
  <si>
    <t xml:space="preserve">VEN-010</t>
  </si>
  <si>
    <t xml:space="preserve">Ningbo Fanmotor Industrial Co., Ltd.</t>
  </si>
  <si>
    <t xml:space="preserve">Ningbo</t>
  </si>
  <si>
    <t xml:space="preserve">FOB Ningbo - sea freight to Alexandria</t>
  </si>
  <si>
    <t xml:space="preserve">VEN-011</t>
  </si>
  <si>
    <t xml:space="preserve">Alexandria Freight Forwarding &amp; Logistics</t>
  </si>
  <si>
    <t xml:space="preserve">Logistics &amp; Customs</t>
  </si>
  <si>
    <t xml:space="preserve">Service</t>
  </si>
  <si>
    <t xml:space="preserve">VEN-012</t>
  </si>
  <si>
    <t xml:space="preserve">Port Said Customs Clearance Office</t>
  </si>
  <si>
    <t xml:space="preserve">VEN-013</t>
  </si>
  <si>
    <t xml:space="preserve">Nile Marine Insurance Co.</t>
  </si>
  <si>
    <t xml:space="preserve">VEN-014</t>
  </si>
  <si>
    <t xml:space="preserve">Egyptian Customs Authority</t>
  </si>
  <si>
    <t xml:space="preserve">Government</t>
  </si>
  <si>
    <t xml:space="preserve">Government - customs duties</t>
  </si>
  <si>
    <t xml:space="preserve">Standard Odoo payment terms - no import needed.</t>
  </si>
  <si>
    <t xml:space="preserve">Typical Use</t>
  </si>
  <si>
    <t xml:space="preserve">Cash / walk-in, service vendors</t>
  </si>
  <si>
    <t xml:space="preserve">Small retailers</t>
  </si>
  <si>
    <t xml:space="preserve">Retailers, local suppliers</t>
  </si>
  <si>
    <t xml:space="preserve">Distributors, Upper Egypt retailers, some suppliers</t>
  </si>
  <si>
    <t xml:space="preserve">Projects (hotels) and overseas AC supplier</t>
  </si>
  <si>
    <t xml:space="preserve">Teams imported with 11_Sales_Teams.xlsx; leaders and members are assigned after users are created.</t>
  </si>
  <si>
    <t xml:space="preserve">Region</t>
  </si>
  <si>
    <t xml:space="preserve">Team Leader</t>
  </si>
  <si>
    <t xml:space="preserve">Opportunities</t>
  </si>
  <si>
    <t xml:space="preserve">Cairo &amp; Giza</t>
  </si>
  <si>
    <t xml:space="preserve">Amr Fouad</t>
  </si>
  <si>
    <t xml:space="preserve">Islam Reda</t>
  </si>
  <si>
    <t xml:space="preserve">Mansoura, Tanta, Ismailia, Port Said</t>
  </si>
  <si>
    <t xml:space="preserve">Walid Shawky</t>
  </si>
  <si>
    <t xml:space="preserve">Asyut, Sohag, Red Sea</t>
  </si>
  <si>
    <t xml:space="preserve">Mina Fawzy</t>
  </si>
  <si>
    <t xml:space="preserve">Corporate &amp; projects (all regions)</t>
  </si>
  <si>
    <t xml:space="preserve">Mostafa Gamal</t>
  </si>
  <si>
    <t xml:space="preserve">Cairo Showroom walk-in</t>
  </si>
  <si>
    <t xml:space="preserve">Salma Ashraf</t>
  </si>
  <si>
    <t xml:space="preserve">CRM Pipeline (sample opportunities)</t>
  </si>
  <si>
    <t xml:space="preserve">Imported with 26_CRM_Opportunities.xlsx. Stages: New &gt; Qualified &gt; Proposition &gt; Won.</t>
  </si>
  <si>
    <t xml:space="preserve">Opportunity</t>
  </si>
  <si>
    <t xml:space="preserve">Customer / Prospect</t>
  </si>
  <si>
    <t xml:space="preserve">Stage</t>
  </si>
  <si>
    <t xml:space="preserve">Expected Revenue</t>
  </si>
  <si>
    <t xml:space="preserve">Probability</t>
  </si>
  <si>
    <t xml:space="preserve">Weighted Revenue</t>
  </si>
  <si>
    <t xml:space="preserve">Red Sea Resort - 120 Split ACs</t>
  </si>
  <si>
    <t xml:space="preserve">Red Sea Resorts Hurghada (new prospect)</t>
  </si>
  <si>
    <t xml:space="preserve">Qualified</t>
  </si>
  <si>
    <t xml:space="preserve">Royal Hotels - New Cairo Branch Fit-out (Fridges &amp; TVs)</t>
  </si>
  <si>
    <t xml:space="preserve">Proposition</t>
  </si>
  <si>
    <t xml:space="preserve">Smart Homes Phase 2 - Kitchen Appliance Packages</t>
  </si>
  <si>
    <t xml:space="preserve">Alex Home Center - Summer AC Stock</t>
  </si>
  <si>
    <t xml:space="preserve">El Nour Electronics - TV Season Order</t>
  </si>
  <si>
    <t xml:space="preserve">Delta Appliances Mall - Washing Machines Restock</t>
  </si>
  <si>
    <t xml:space="preserve">New Retailer - Hurghada Electronics Hub</t>
  </si>
  <si>
    <t xml:space="preserve">Hurghada Electronics Hub (new prospect)</t>
  </si>
  <si>
    <t xml:space="preserve">New</t>
  </si>
  <si>
    <t xml:space="preserve">Beitak Stand Fan - Distributor Deal (500 units)</t>
  </si>
  <si>
    <t xml:space="preserve">Canal Electronics - Small Appliances Promo</t>
  </si>
  <si>
    <t xml:space="preserve">Alexandria Hospitals - Refrigerators for Wards</t>
  </si>
  <si>
    <t xml:space="preserve">Tanta Electric Gallery - Cookers &amp; Ovens</t>
  </si>
  <si>
    <t xml:space="preserve">TV Wall Mounts - Installation Company Contract</t>
  </si>
  <si>
    <t xml:space="preserve">Pro Install Services (new prospect)</t>
  </si>
  <si>
    <t xml:space="preserve">Chart of Approvals</t>
  </si>
  <si>
    <t xml:space="preserve">Classification follows the instructor's guide: ~70% Standard, 10-15% Workaround, 15-20% Customization.</t>
  </si>
  <si>
    <t xml:space="preserve">Process</t>
  </si>
  <si>
    <t xml:space="preserve">Trigger</t>
  </si>
  <si>
    <t xml:space="preserve">Threshold</t>
  </si>
  <si>
    <t xml:space="preserve">Approver</t>
  </si>
  <si>
    <t xml:space="preserve">How in Odoo</t>
  </si>
  <si>
    <t xml:space="preserve">Classification</t>
  </si>
  <si>
    <t xml:space="preserve">Purchase order</t>
  </si>
  <si>
    <t xml:space="preserve">PO total</t>
  </si>
  <si>
    <t xml:space="preserve">&gt; 250,000 EGP</t>
  </si>
  <si>
    <t xml:space="preserve">Procurement &amp; Import Manager</t>
  </si>
  <si>
    <t xml:space="preserve">Purchase Order Approval (2-step validation)</t>
  </si>
  <si>
    <t xml:space="preserve">Standard</t>
  </si>
  <si>
    <t xml:space="preserve">Overseas purchase order (USD)</t>
  </si>
  <si>
    <t xml:space="preserve">Any overseas vendor</t>
  </si>
  <si>
    <t xml:space="preserve">All amounts</t>
  </si>
  <si>
    <t xml:space="preserve">General Manager</t>
  </si>
  <si>
    <t xml:space="preserve">GM confirms POs with Purchase Administrator rights; Approvals app if Enterprise</t>
  </si>
  <si>
    <t xml:space="preserve">Workaround</t>
  </si>
  <si>
    <t xml:space="preserve">Sales order above credit limit</t>
  </si>
  <si>
    <t xml:space="preserve">Exposure &gt; credit limit</t>
  </si>
  <si>
    <t xml:space="preserve">Per customer</t>
  </si>
  <si>
    <t xml:space="preserve">Finance Manager</t>
  </si>
  <si>
    <t xml:space="preserve">Sales Credit Limit warning on order and invoice</t>
  </si>
  <si>
    <t xml:space="preserve">Standard (warning) / blocking = Customization</t>
  </si>
  <si>
    <t xml:space="preserve">Sales discount</t>
  </si>
  <si>
    <t xml:space="preserve">Line discount</t>
  </si>
  <si>
    <t xml:space="preserve">&gt; 10%</t>
  </si>
  <si>
    <t xml:space="preserve">Sales Manager</t>
  </si>
  <si>
    <t xml:space="preserve">Approval rule (Studio, Enterprise) or small custom module</t>
  </si>
  <si>
    <t xml:space="preserve">Customization</t>
  </si>
  <si>
    <t xml:space="preserve">Price list changes</t>
  </si>
  <si>
    <t xml:space="preserve">Create / edit price list</t>
  </si>
  <si>
    <t xml:space="preserve">All</t>
  </si>
  <si>
    <t xml:space="preserve">Only Sales Administrator can edit price lists</t>
  </si>
  <si>
    <t xml:space="preserve">Vendor payment</t>
  </si>
  <si>
    <t xml:space="preserve">Payment amount</t>
  </si>
  <si>
    <t xml:space="preserve">&gt; 500,000 EGP</t>
  </si>
  <si>
    <t xml:space="preserve">Treasurer creates draft payment; Finance Manager posts</t>
  </si>
  <si>
    <t xml:space="preserve">Inventory adjustment</t>
  </si>
  <si>
    <t xml:space="preserve">Apply a count</t>
  </si>
  <si>
    <t xml:space="preserve">Warehouse &amp; Logistics Manager</t>
  </si>
  <si>
    <t xml:space="preserve">Apply button limited to Inventory Administrator</t>
  </si>
  <si>
    <t xml:space="preserve">Scrap</t>
  </si>
  <si>
    <t xml:space="preserve">Scrap value</t>
  </si>
  <si>
    <t xml:space="preserve">&gt; 10,000 EGP</t>
  </si>
  <si>
    <t xml:space="preserve">Production Manager</t>
  </si>
  <si>
    <t xml:space="preserve">Supervisor scraps; weekly scrap report reviewed by manager</t>
  </si>
  <si>
    <t xml:space="preserve">Manual journal entries</t>
  </si>
  <si>
    <t xml:space="preserve">Post entry</t>
  </si>
  <si>
    <t xml:space="preserve">Accountant prepares draft; Finance Manager posts; lock dates</t>
  </si>
  <si>
    <t xml:space="preserve">POS refund</t>
  </si>
  <si>
    <t xml:space="preserve">Refund in POS</t>
  </si>
  <si>
    <t xml:space="preserve">Showroom Supervisor</t>
  </si>
  <si>
    <t xml:space="preserve">Refunds done by POS Administrator; cashier uses employee login</t>
  </si>
  <si>
    <t xml:space="preserve">Time off</t>
  </si>
  <si>
    <t xml:space="preserve">Leave request</t>
  </si>
  <si>
    <t xml:space="preserve">Direct manager</t>
  </si>
  <si>
    <t xml:space="preserve">Time Off approval by manager</t>
  </si>
  <si>
    <t xml:space="preserve">Sales Cycle - Order to Cash</t>
  </si>
  <si>
    <t xml:space="preserve">Each step shows who does it, where in Odoo, the control, and the journal entry it creates.</t>
  </si>
  <si>
    <t xml:space="preserve">#</t>
  </si>
  <si>
    <t xml:space="preserve">Step</t>
  </si>
  <si>
    <t xml:space="preserve">Department</t>
  </si>
  <si>
    <t xml:space="preserve">Role</t>
  </si>
  <si>
    <t xml:space="preserve">Odoo App</t>
  </si>
  <si>
    <t xml:space="preserve">Odoo Document / Action</t>
  </si>
  <si>
    <t xml:space="preserve">Control</t>
  </si>
  <si>
    <t xml:space="preserve">Accounting Entry</t>
  </si>
  <si>
    <t xml:space="preserve">Capture lead</t>
  </si>
  <si>
    <t xml:space="preserve">Sales</t>
  </si>
  <si>
    <t xml:space="preserve">Sales Representative</t>
  </si>
  <si>
    <t xml:space="preserve">Lead &gt; Opportunity in pipeline</t>
  </si>
  <si>
    <t xml:space="preserve">-</t>
  </si>
  <si>
    <t xml:space="preserve">Quotation</t>
  </si>
  <si>
    <t xml:space="preserve">Quotation with customer price list</t>
  </si>
  <si>
    <t xml:space="preserve">Price list rules</t>
  </si>
  <si>
    <t xml:space="preserve">Confirm order</t>
  </si>
  <si>
    <t xml:space="preserve">Sales Order</t>
  </si>
  <si>
    <t xml:space="preserve">Credit limit warning; discount &gt; 10% needs Sales Manager</t>
  </si>
  <si>
    <t xml:space="preserve">Pick and pack</t>
  </si>
  <si>
    <t xml:space="preserve">Warehouse &amp; Logistics</t>
  </si>
  <si>
    <t xml:space="preserve">Warehouse Keeper</t>
  </si>
  <si>
    <t xml:space="preserve">Inventory</t>
  </si>
  <si>
    <t xml:space="preserve">CAW: Pick &gt; Pack &gt; Ship; branches: Pick &gt; Ship; scan serials</t>
  </si>
  <si>
    <t xml:space="preserve">Serial numbers</t>
  </si>
  <si>
    <t xml:space="preserve">Deliver</t>
  </si>
  <si>
    <t xml:space="preserve">Delivery Driver</t>
  </si>
  <si>
    <t xml:space="preserve">Delivery Order validated</t>
  </si>
  <si>
    <t xml:space="preserve">Customer signature</t>
  </si>
  <si>
    <t xml:space="preserve">Dr 120901 Stock Output / Cr 1201xx Inventory</t>
  </si>
  <si>
    <t xml:space="preserve">Invoice</t>
  </si>
  <si>
    <t xml:space="preserve">Finance &amp; Accounting</t>
  </si>
  <si>
    <t xml:space="preserve">Accountant</t>
  </si>
  <si>
    <t xml:space="preserve">Accounting</t>
  </si>
  <si>
    <t xml:space="preserve">Customer Invoice (invoice policy: delivered quantities)</t>
  </si>
  <si>
    <t xml:space="preserve">Dr 110100/110200 AR / Cr 5101xx Sales + 201017 VAT; Dr 4101xx COGS / Cr 120901</t>
  </si>
  <si>
    <t xml:space="preserve">Collect</t>
  </si>
  <si>
    <t xml:space="preserve">Treasurer / Cashier</t>
  </si>
  <si>
    <t xml:space="preserve">Register Payment (bank, cash or post-dated cheque)</t>
  </si>
  <si>
    <t xml:space="preserve">Dr Bank or 110300 Notes Receivable / Cr AR</t>
  </si>
  <si>
    <t xml:space="preserve">Reconcile</t>
  </si>
  <si>
    <t xml:space="preserve">Bank reconciliation</t>
  </si>
  <si>
    <t xml:space="preserve">Dr Bank / Cr 101004 Outstanding Receipts</t>
  </si>
  <si>
    <t xml:space="preserve">Follow-up</t>
  </si>
  <si>
    <t xml:space="preserve">Aged Receivable report</t>
  </si>
  <si>
    <t xml:space="preserve">Overdue review</t>
  </si>
  <si>
    <t xml:space="preserve">Procurement Cycle - Purchase Request to Payment</t>
  </si>
  <si>
    <t xml:space="preserve">Replenishment need</t>
  </si>
  <si>
    <t xml:space="preserve">Procurement &amp; Import</t>
  </si>
  <si>
    <t xml:space="preserve">Purchasing Specialist</t>
  </si>
  <si>
    <t xml:space="preserve">Reordering rule or manual RFQ</t>
  </si>
  <si>
    <t xml:space="preserve">Min / max rules</t>
  </si>
  <si>
    <t xml:space="preserve">Request for quotation</t>
  </si>
  <si>
    <t xml:space="preserve">Purchasing / Import Specialist</t>
  </si>
  <si>
    <t xml:space="preserve">Purchase</t>
  </si>
  <si>
    <t xml:space="preserve">RFQ with vendor price list (USD for overseas)</t>
  </si>
  <si>
    <t xml:space="preserve">Approve order</t>
  </si>
  <si>
    <t xml:space="preserve">Procurement Manager / GM</t>
  </si>
  <si>
    <t xml:space="preserve">Purchase Order</t>
  </si>
  <si>
    <t xml:space="preserve">Approval above 250,000 EGP</t>
  </si>
  <si>
    <t xml:space="preserve">Receive</t>
  </si>
  <si>
    <t xml:space="preserve">CAW receipt: Input &gt; Quality Control &gt; Stock; serials</t>
  </si>
  <si>
    <t xml:space="preserve">Quality check</t>
  </si>
  <si>
    <t xml:space="preserve">Dr 1201xx Inventory / Cr 120900 GRNI</t>
  </si>
  <si>
    <t xml:space="preserve">Vendor bill</t>
  </si>
  <si>
    <t xml:space="preserve">Vendor Bill matched to received quantities</t>
  </si>
  <si>
    <t xml:space="preserve">3-way match</t>
  </si>
  <si>
    <t xml:space="preserve">Dr 120900 GRNI + 104041 VAT Input / Cr 211100 or 211200 AP</t>
  </si>
  <si>
    <t xml:space="preserve">Import Specialist</t>
  </si>
  <si>
    <t xml:space="preserve">Bills for freight, duties, clearance, insurance &gt; Landed Cost on the receipt</t>
  </si>
  <si>
    <t xml:space="preserve">Dr 1301xx Clearing / Cr AP; then Dr 1201xx Inventory / Cr 1301xx</t>
  </si>
  <si>
    <t xml:space="preserve">Pay vendor</t>
  </si>
  <si>
    <t xml:space="preserve">Payment (CIB USD TT, EGP bank, or post-dated cheque 212100)</t>
  </si>
  <si>
    <t xml:space="preserve">Finance Manager above 500,000 EGP</t>
  </si>
  <si>
    <t xml:space="preserve">Dr AP / Cr Bank (FX difference 500011 / 400053)</t>
  </si>
  <si>
    <t xml:space="preserve">Dr 105003 Outstanding Payments / Cr Bank</t>
  </si>
  <si>
    <t xml:space="preserve">Manufacturing Cycle - Fan Assembly</t>
  </si>
  <si>
    <t xml:space="preserve">Demand</t>
  </si>
  <si>
    <t xml:space="preserve">Production</t>
  </si>
  <si>
    <t xml:space="preserve">MO from reordering rule (fan, fan board) or manual</t>
  </si>
  <si>
    <t xml:space="preserve">Check components</t>
  </si>
  <si>
    <t xml:space="preserve">Production Supervisor</t>
  </si>
  <si>
    <t xml:space="preserve">Component availability; missing raw materials trigger RFQs</t>
  </si>
  <si>
    <t xml:space="preserve">Sub-assembly first</t>
  </si>
  <si>
    <t xml:space="preserve">Electronics Technician</t>
  </si>
  <si>
    <t xml:space="preserve">MO for BTK-MFG-007 fan control board</t>
  </si>
  <si>
    <t xml:space="preserve">Dr 120850 WIP / Cr 120800 Raw Materials</t>
  </si>
  <si>
    <t xml:space="preserve">Work orders</t>
  </si>
  <si>
    <t xml:space="preserve">Assembly Technicians</t>
  </si>
  <si>
    <t xml:space="preserve">Fan MO: Assembly Line 1 &gt; Quality Control &amp; Packing</t>
  </si>
  <si>
    <t xml:space="preserve">Time tracking</t>
  </si>
  <si>
    <t xml:space="preserve">Dr 120850 WIP / Cr 120800 + 120600 (board)</t>
  </si>
  <si>
    <t xml:space="preserve">Produce</t>
  </si>
  <si>
    <t xml:space="preserve">Produce with generated serial numbers</t>
  </si>
  <si>
    <t xml:space="preserve">QC inspector check</t>
  </si>
  <si>
    <t xml:space="preserve">Dr 120600 Finished Goods / Cr 120850 WIP (incl. labour)</t>
  </si>
  <si>
    <t xml:space="preserve">Scrap order</t>
  </si>
  <si>
    <t xml:space="preserve">Manager review above 10,000 EGP</t>
  </si>
  <si>
    <t xml:space="preserve">Dr 400036 Write Off Inventory / Cr Inventory</t>
  </si>
  <si>
    <t xml:space="preserve">Move to stock</t>
  </si>
  <si>
    <t xml:space="preserve">Finished goods to stock / resupply branches</t>
  </si>
  <si>
    <t xml:space="preserve">Warehouse Operation Cycle</t>
  </si>
  <si>
    <t xml:space="preserve">Receipt</t>
  </si>
  <si>
    <t xml:space="preserve">Warehouse Keeper - Cairo</t>
  </si>
  <si>
    <t xml:space="preserve">3-step receipt with QC in Cairo; 1-step in branches</t>
  </si>
  <si>
    <t xml:space="preserve">QC</t>
  </si>
  <si>
    <t xml:space="preserve">Automated stock valuation</t>
  </si>
  <si>
    <t xml:space="preserve">Put-away</t>
  </si>
  <si>
    <t xml:space="preserve">Store in First Floor (large) / Second Floor (small) / Raw Materials Store</t>
  </si>
  <si>
    <t xml:space="preserve">Branch resupply</t>
  </si>
  <si>
    <t xml:space="preserve">Warehouse Manager</t>
  </si>
  <si>
    <t xml:space="preserve">Inter-warehouse transfer Cairo &gt; branch</t>
  </si>
  <si>
    <t xml:space="preserve">Delivery</t>
  </si>
  <si>
    <t xml:space="preserve">Pick &gt; Pack &gt; Ship (Cairo) / Pick &gt; Ship (branches)</t>
  </si>
  <si>
    <t xml:space="preserve">Serial scan</t>
  </si>
  <si>
    <t xml:space="preserve">COGS via stock output</t>
  </si>
  <si>
    <t xml:space="preserve">Customer return</t>
  </si>
  <si>
    <t xml:space="preserve">Return transfer to Quality Control</t>
  </si>
  <si>
    <t xml:space="preserve">Serial check</t>
  </si>
  <si>
    <t xml:space="preserve">Reverses stock valuation</t>
  </si>
  <si>
    <t xml:space="preserve">Cycle count</t>
  </si>
  <si>
    <t xml:space="preserve">Physical Inventory &gt; Apply</t>
  </si>
  <si>
    <t xml:space="preserve">Only manager applies</t>
  </si>
  <si>
    <t xml:space="preserve">Dr/Cr Inventory vs adjustment account</t>
  </si>
  <si>
    <t xml:space="preserve">Manager review</t>
  </si>
  <si>
    <t xml:space="preserve">Dr 400036 / Cr Inventory</t>
  </si>
  <si>
    <t xml:space="preserve">Replenishment</t>
  </si>
  <si>
    <t xml:space="preserve">Replenishment report (min / max)</t>
  </si>
  <si>
    <t xml:space="preserve">Point of Sale Daily Cycle - Cairo Showroom</t>
  </si>
  <si>
    <t xml:space="preserve">Open session</t>
  </si>
  <si>
    <t xml:space="preserve">Showroom &amp; Retail</t>
  </si>
  <si>
    <t xml:space="preserve">Showroom Cashier</t>
  </si>
  <si>
    <t xml:space="preserve">Point of Sale</t>
  </si>
  <si>
    <t xml:space="preserve">Open session with opening cash count</t>
  </si>
  <si>
    <t xml:space="preserve">Sell</t>
  </si>
  <si>
    <t xml:space="preserve">Sales Associate / Cashier</t>
  </si>
  <si>
    <t xml:space="preserve">Scan barcode, select serial, Retail price list</t>
  </si>
  <si>
    <t xml:space="preserve">Take payment</t>
  </si>
  <si>
    <t xml:space="preserve">Cash (POSCS), Card (NBEG), Customer Account</t>
  </si>
  <si>
    <t xml:space="preserve">Refund</t>
  </si>
  <si>
    <t xml:space="preserve">Refund order</t>
  </si>
  <si>
    <t xml:space="preserve">Supervisor only</t>
  </si>
  <si>
    <t xml:space="preserve">Close session</t>
  </si>
  <si>
    <t xml:space="preserve">Closing cash count</t>
  </si>
  <si>
    <t xml:space="preserve">Difference to 999001 / 999002</t>
  </si>
  <si>
    <t xml:space="preserve">Dr 101104 / NBEG / 102012 / Cr 5101xx-5104xx + 201017</t>
  </si>
  <si>
    <t xml:space="preserve">Deposit cash</t>
  </si>
  <si>
    <t xml:space="preserve">Internal transfer to bank</t>
  </si>
  <si>
    <t xml:space="preserve">Max balance 50,000 EGP</t>
  </si>
  <si>
    <t xml:space="preserve">Dr Bank / Cr 101104 via 100001</t>
  </si>
  <si>
    <t xml:space="preserve">Financial Cycle - Journal to Financial Statements</t>
  </si>
  <si>
    <t xml:space="preserve">Operational entries</t>
  </si>
  <si>
    <t xml:space="preserve">System</t>
  </si>
  <si>
    <t xml:space="preserve">All apps</t>
  </si>
  <si>
    <t xml:space="preserve">Automatic entries from sales, purchase, inventory, POS, manufacturing</t>
  </si>
  <si>
    <t xml:space="preserve">Automatic</t>
  </si>
  <si>
    <t xml:space="preserve">Manual entries</t>
  </si>
  <si>
    <t xml:space="preserve">Accruals, prepayments, payroll, depreciation (Misc journal)</t>
  </si>
  <si>
    <t xml:space="preserve">Finance Manager posts</t>
  </si>
  <si>
    <t xml:space="preserve">Per entry</t>
  </si>
  <si>
    <t xml:space="preserve">Bank and cash reconciliation</t>
  </si>
  <si>
    <t xml:space="preserve">Accountant / Treasurer</t>
  </si>
  <si>
    <t xml:space="preserve">Daily / weekly reconciliation</t>
  </si>
  <si>
    <t xml:space="preserve">Outstanding accounts cleared</t>
  </si>
  <si>
    <t xml:space="preserve">Inventory check</t>
  </si>
  <si>
    <t xml:space="preserve">Senior Accountant</t>
  </si>
  <si>
    <t xml:space="preserve">Inventory / Accounting</t>
  </si>
  <si>
    <t xml:space="preserve">Stock valuation report vs GL 1201xx</t>
  </si>
  <si>
    <t xml:space="preserve">Difference = 0</t>
  </si>
  <si>
    <t xml:space="preserve">Landed cost and interim review</t>
  </si>
  <si>
    <t xml:space="preserve">120900 / 120901 / 1301xx balances explained</t>
  </si>
  <si>
    <t xml:space="preserve">VAT return</t>
  </si>
  <si>
    <t xml:space="preserve">Egypt tax report</t>
  </si>
  <si>
    <t xml:space="preserve">Tax specialist review</t>
  </si>
  <si>
    <t xml:space="preserve">Lock period</t>
  </si>
  <si>
    <t xml:space="preserve">Lock dates</t>
  </si>
  <si>
    <t xml:space="preserve">Reports</t>
  </si>
  <si>
    <t xml:space="preserve">Trial Balance &gt; P&amp;L &gt; Balance Sheet; analytic by branch and business line</t>
  </si>
  <si>
    <t xml:space="preserve">Year-end</t>
  </si>
  <si>
    <t xml:space="preserve">Current-year result (999999) closed to retained earnings 330100</t>
  </si>
  <si>
    <t xml:space="preserve">Dr 999999 / Cr 330100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</si>
</sst>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0;\(#,##0.00\);\-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8EE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0"/>
      <rgbColor rgb="FF660066"/>
      <rgbColor rgb="FFFF8080"/>
      <rgbColor rgb="FF0066CC"/>
      <rgbColor rgb="FFD0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artners_and_Operations_Cycles.xlsx" TargetMode="External"/><Relationship Id="rId2" Type="http://schemas.openxmlformats.org/officeDocument/2006/relationships/hyperlink" Target="Partners_and_Operations_Cycles.xlsx" TargetMode="External"/><Relationship Id="rId3" Type="http://schemas.openxmlformats.org/officeDocument/2006/relationships/hyperlink" Target="Partners_and_Operations_Cycles.xlsx" TargetMode="External"/><Relationship Id="rId4" Type="http://schemas.openxmlformats.org/officeDocument/2006/relationships/hyperlink" Target="Partners_and_Operations_Cycles.xlsx" TargetMode="External"/><Relationship Id="rId5" Type="http://schemas.openxmlformats.org/officeDocument/2006/relationships/hyperlink" Target="Partners_and_Operations_Cycles.xlsx" TargetMode="External"/><Relationship Id="rId6" Type="http://schemas.openxmlformats.org/officeDocument/2006/relationships/hyperlink" Target="Partners_and_Operations_Cycles.xlsx" TargetMode="External"/><Relationship Id="rId7" Type="http://schemas.openxmlformats.org/officeDocument/2006/relationships/hyperlink" Target="Partners_and_Operations_Cycles.xlsx" TargetMode="External"/><Relationship Id="rId8" Type="http://schemas.openxmlformats.org/officeDocument/2006/relationships/hyperlink" Target="Partners_and_Operations_Cycles.xlsx" TargetMode="External"/><Relationship Id="rId9" Type="http://schemas.openxmlformats.org/officeDocument/2006/relationships/hyperlink" Target="Partners_and_Operations_Cycles.xlsx" TargetMode="External"/><Relationship Id="rId10" Type="http://schemas.openxmlformats.org/officeDocument/2006/relationships/hyperlink" Target="Partners_and_Operations_Cycles.xlsx" TargetMode="External"/><Relationship Id="rId11" Type="http://schemas.openxmlformats.org/officeDocument/2006/relationships/hyperlink" Target="Partners_and_Operations_Cycles.xlsx" TargetMode="External"/><Relationship Id="rId12" Type="http://schemas.openxmlformats.org/officeDocument/2006/relationships/hyperlink" Target="Partners_and_Operations_Cycle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  <col collapsed="false" customWidth="true" hidden="false" outlineLevel="0" max="3" min="3" style="0" width="4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5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5" t="s">
        <v>25</v>
      </c>
    </row>
    <row r="12" customFormat="false" ht="15" hidden="false" customHeight="false" outlineLevel="0" collapsed="false">
      <c r="A12" s="4" t="s">
        <v>26</v>
      </c>
      <c r="B12" s="5" t="s">
        <v>27</v>
      </c>
      <c r="C12" s="5" t="s">
        <v>28</v>
      </c>
    </row>
    <row r="13" customFormat="false" ht="15" hidden="false" customHeight="false" outlineLevel="0" collapsed="false">
      <c r="A13" s="4" t="s">
        <v>29</v>
      </c>
      <c r="B13" s="5" t="s">
        <v>30</v>
      </c>
      <c r="C13" s="5" t="s">
        <v>31</v>
      </c>
    </row>
    <row r="14" customFormat="false" ht="15" hidden="false" customHeight="false" outlineLevel="0" collapsed="false">
      <c r="A14" s="4" t="s">
        <v>32</v>
      </c>
      <c r="B14" s="5" t="s">
        <v>33</v>
      </c>
      <c r="C14" s="5" t="s">
        <v>34</v>
      </c>
    </row>
    <row r="15" customFormat="false" ht="15" hidden="false" customHeight="false" outlineLevel="0" collapsed="false">
      <c r="A15" s="4" t="s">
        <v>35</v>
      </c>
      <c r="B15" s="5" t="s">
        <v>36</v>
      </c>
      <c r="C15" s="5" t="s">
        <v>37</v>
      </c>
    </row>
    <row r="16" customFormat="false" ht="15" hidden="false" customHeight="false" outlineLevel="0" collapsed="false">
      <c r="A16" s="4" t="s">
        <v>38</v>
      </c>
      <c r="B16" s="5" t="s">
        <v>39</v>
      </c>
      <c r="C16" s="5" t="s">
        <v>40</v>
      </c>
    </row>
    <row r="18" customFormat="false" ht="15" hidden="false" customHeight="false" outlineLevel="0" collapsed="false">
      <c r="A18" s="6" t="s">
        <v>41</v>
      </c>
    </row>
    <row r="19" customFormat="false" ht="23.85" hidden="false" customHeight="false" outlineLevel="0" collapsed="false">
      <c r="A19" s="5" t="s">
        <v>42</v>
      </c>
      <c r="B19" s="7" t="s">
        <v>43</v>
      </c>
    </row>
    <row r="20" customFormat="false" ht="23.85" hidden="false" customHeight="false" outlineLevel="0" collapsed="false">
      <c r="A20" s="5" t="s">
        <v>44</v>
      </c>
      <c r="B20" s="7" t="s">
        <v>45</v>
      </c>
    </row>
    <row r="21" customFormat="false" ht="15" hidden="false" customHeight="false" outlineLevel="0" collapsed="false">
      <c r="A21" s="5" t="s">
        <v>46</v>
      </c>
      <c r="B21" s="7" t="s">
        <v>47</v>
      </c>
    </row>
    <row r="22" customFormat="false" ht="15" hidden="false" customHeight="false" outlineLevel="0" collapsed="false">
      <c r="A22" s="5" t="s">
        <v>48</v>
      </c>
      <c r="B22" s="7" t="s">
        <v>49</v>
      </c>
    </row>
    <row r="23" customFormat="false" ht="15" hidden="false" customHeight="false" outlineLevel="0" collapsed="false">
      <c r="A23" s="5" t="s">
        <v>50</v>
      </c>
      <c r="B23" s="7" t="s">
        <v>51</v>
      </c>
    </row>
    <row r="24" customFormat="false" ht="15" hidden="false" customHeight="false" outlineLevel="0" collapsed="false">
      <c r="A24" s="5" t="s">
        <v>52</v>
      </c>
      <c r="B24" s="7" t="s">
        <v>53</v>
      </c>
    </row>
    <row r="25" customFormat="false" ht="23.85" hidden="false" customHeight="false" outlineLevel="0" collapsed="false">
      <c r="A25" s="5" t="s">
        <v>54</v>
      </c>
      <c r="B25" s="7" t="s">
        <v>55</v>
      </c>
    </row>
    <row r="26" customFormat="false" ht="23.85" hidden="false" customHeight="false" outlineLevel="0" collapsed="false">
      <c r="A26" s="5" t="s">
        <v>56</v>
      </c>
      <c r="B26" s="7" t="s">
        <v>57</v>
      </c>
    </row>
    <row r="27" customFormat="false" ht="15" hidden="false" customHeight="false" outlineLevel="0" collapsed="false">
      <c r="A27" s="5" t="s">
        <v>58</v>
      </c>
      <c r="B27" s="7" t="s">
        <v>59</v>
      </c>
    </row>
  </sheetData>
  <hyperlinks>
    <hyperlink ref="A5" r:id="rId1" location="'Customers'!A1" display="Customers"/>
    <hyperlink ref="A6" r:id="rId2" location="'Vendors'!A1" display="Vendors"/>
    <hyperlink ref="A7" r:id="rId3" location="'Payment%20Terms'!A1" display="Payment Terms"/>
    <hyperlink ref="A8" r:id="rId4" location="'Sales%20Teams'!A1" display="Sales Teams"/>
    <hyperlink ref="A9" r:id="rId5" location="'CRM%20Pipeline'!A1" display="CRM Pipeline"/>
    <hyperlink ref="A10" r:id="rId6" location="'Approvals%20Matrix'!A1" display="Approvals Matrix"/>
    <hyperlink ref="A11" r:id="rId7" location="'Cycle%20-%20Order%20to%20Cash'!A1" display="Cycle - Order to Cash"/>
    <hyperlink ref="A12" r:id="rId8" location="'Cycle%20-%20Procure%20to%20Pay'!A1" display="Cycle - Procure to Pay"/>
    <hyperlink ref="A13" r:id="rId9" location="'Cycle%20-%20Manufacturing'!A1" display="Cycle - Manufacturing"/>
    <hyperlink ref="A14" r:id="rId10" location="'Cycle%20-%20Warehouse%20Operations'!A1" display="Cycle - Warehouse Operations"/>
    <hyperlink ref="A15" r:id="rId11" location="'Cycle%20-%20POS%20Daily'!A1" display="Cycle - POS Daily"/>
    <hyperlink ref="A16" r:id="rId12" location="'Cycle%20-%20Journal%20to%20FS'!A1" display="Cycle - Journal to F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7" min="5" style="0" width="26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5" min="15" style="0" width="17"/>
  </cols>
  <sheetData>
    <row r="1" customFormat="false" ht="16.15" hidden="false" customHeight="false" outlineLevel="0" collapsed="false">
      <c r="A1" s="8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9" t="s">
        <v>62</v>
      </c>
      <c r="B4" s="9" t="s">
        <v>63</v>
      </c>
      <c r="C4" s="9" t="s">
        <v>64</v>
      </c>
      <c r="D4" s="9" t="s">
        <v>65</v>
      </c>
      <c r="E4" s="9" t="s">
        <v>66</v>
      </c>
      <c r="F4" s="9" t="s">
        <v>67</v>
      </c>
      <c r="G4" s="9" t="s">
        <v>11</v>
      </c>
      <c r="H4" s="9" t="s">
        <v>68</v>
      </c>
      <c r="I4" s="9" t="s">
        <v>69</v>
      </c>
      <c r="J4" s="9" t="s">
        <v>70</v>
      </c>
      <c r="K4" s="9" t="s">
        <v>71</v>
      </c>
      <c r="L4" s="9" t="s">
        <v>72</v>
      </c>
      <c r="M4" s="9" t="s">
        <v>73</v>
      </c>
      <c r="N4" s="9" t="s">
        <v>74</v>
      </c>
      <c r="O4" s="9" t="s">
        <v>75</v>
      </c>
    </row>
    <row r="5" customFormat="false" ht="15" hidden="false" customHeight="false" outlineLevel="0" collapsed="false">
      <c r="A5" s="10" t="s">
        <v>76</v>
      </c>
      <c r="B5" s="10" t="s">
        <v>77</v>
      </c>
      <c r="C5" s="10" t="s">
        <v>78</v>
      </c>
      <c r="D5" s="10" t="s">
        <v>79</v>
      </c>
      <c r="E5" s="10" t="s">
        <v>80</v>
      </c>
      <c r="F5" s="10" t="s">
        <v>81</v>
      </c>
      <c r="G5" s="10" t="s">
        <v>82</v>
      </c>
      <c r="H5" s="11" t="n">
        <v>900000</v>
      </c>
      <c r="I5" s="10" t="s">
        <v>83</v>
      </c>
      <c r="J5" s="10" t="s">
        <v>84</v>
      </c>
      <c r="K5" s="10" t="s">
        <v>85</v>
      </c>
      <c r="L5" s="12" t="n">
        <v>520000</v>
      </c>
      <c r="M5" s="12" t="n">
        <v>200000</v>
      </c>
      <c r="N5" s="12" t="n">
        <f aca="false">L5+M5</f>
        <v>720000</v>
      </c>
      <c r="O5" s="12" t="n">
        <f aca="false">IF(H5&gt;0,H5-N5,"No credit")</f>
        <v>180000</v>
      </c>
    </row>
    <row r="6" customFormat="false" ht="15" hidden="false" customHeight="false" outlineLevel="0" collapsed="false">
      <c r="A6" s="10" t="s">
        <v>86</v>
      </c>
      <c r="B6" s="10" t="s">
        <v>87</v>
      </c>
      <c r="C6" s="10" t="s">
        <v>78</v>
      </c>
      <c r="D6" s="10" t="s">
        <v>88</v>
      </c>
      <c r="E6" s="10" t="s">
        <v>80</v>
      </c>
      <c r="F6" s="10" t="s">
        <v>81</v>
      </c>
      <c r="G6" s="10" t="s">
        <v>82</v>
      </c>
      <c r="H6" s="11" t="n">
        <v>400000</v>
      </c>
      <c r="I6" s="10" t="s">
        <v>83</v>
      </c>
      <c r="J6" s="10" t="s">
        <v>84</v>
      </c>
      <c r="K6" s="10" t="s">
        <v>85</v>
      </c>
      <c r="L6" s="12" t="n">
        <v>310000</v>
      </c>
      <c r="M6" s="12" t="n">
        <v>0</v>
      </c>
      <c r="N6" s="12" t="n">
        <f aca="false">L6+M6</f>
        <v>310000</v>
      </c>
      <c r="O6" s="12" t="n">
        <f aca="false">IF(H6&gt;0,H6-N6,"No credit")</f>
        <v>90000</v>
      </c>
    </row>
    <row r="7" customFormat="false" ht="15" hidden="false" customHeight="false" outlineLevel="0" collapsed="false">
      <c r="A7" s="10" t="s">
        <v>89</v>
      </c>
      <c r="B7" s="10" t="s">
        <v>90</v>
      </c>
      <c r="C7" s="10" t="s">
        <v>78</v>
      </c>
      <c r="D7" s="10" t="s">
        <v>79</v>
      </c>
      <c r="E7" s="10" t="s">
        <v>80</v>
      </c>
      <c r="F7" s="10" t="s">
        <v>81</v>
      </c>
      <c r="G7" s="10" t="s">
        <v>91</v>
      </c>
      <c r="H7" s="11" t="n">
        <v>250000</v>
      </c>
      <c r="I7" s="10" t="s">
        <v>83</v>
      </c>
      <c r="J7" s="10" t="s">
        <v>84</v>
      </c>
      <c r="K7" s="10" t="s">
        <v>85</v>
      </c>
      <c r="L7" s="12" t="n">
        <v>180000</v>
      </c>
      <c r="M7" s="12" t="n">
        <v>0</v>
      </c>
      <c r="N7" s="12" t="n">
        <f aca="false">L7+M7</f>
        <v>180000</v>
      </c>
      <c r="O7" s="12" t="n">
        <f aca="false">IF(H7&gt;0,H7-N7,"No credit")</f>
        <v>70000</v>
      </c>
    </row>
    <row r="8" customFormat="false" ht="15" hidden="false" customHeight="false" outlineLevel="0" collapsed="false">
      <c r="A8" s="10" t="s">
        <v>92</v>
      </c>
      <c r="B8" s="10" t="s">
        <v>93</v>
      </c>
      <c r="C8" s="10" t="s">
        <v>78</v>
      </c>
      <c r="D8" s="10" t="s">
        <v>79</v>
      </c>
      <c r="E8" s="10" t="s">
        <v>80</v>
      </c>
      <c r="F8" s="10" t="s">
        <v>81</v>
      </c>
      <c r="G8" s="10" t="s">
        <v>91</v>
      </c>
      <c r="H8" s="11" t="n">
        <v>200000</v>
      </c>
      <c r="I8" s="10" t="s">
        <v>83</v>
      </c>
      <c r="J8" s="10" t="s">
        <v>84</v>
      </c>
      <c r="K8" s="10" t="s">
        <v>85</v>
      </c>
      <c r="L8" s="12" t="n">
        <v>0</v>
      </c>
      <c r="M8" s="12" t="n">
        <v>0</v>
      </c>
      <c r="N8" s="12" t="n">
        <f aca="false">L8+M8</f>
        <v>0</v>
      </c>
      <c r="O8" s="12" t="n">
        <f aca="false">IF(H8&gt;0,H8-N8,"No credit")</f>
        <v>200000</v>
      </c>
    </row>
    <row r="9" customFormat="false" ht="15" hidden="false" customHeight="false" outlineLevel="0" collapsed="false">
      <c r="A9" s="10" t="s">
        <v>94</v>
      </c>
      <c r="B9" s="10" t="s">
        <v>95</v>
      </c>
      <c r="C9" s="10" t="s">
        <v>78</v>
      </c>
      <c r="D9" s="10" t="s">
        <v>96</v>
      </c>
      <c r="E9" s="10" t="s">
        <v>97</v>
      </c>
      <c r="F9" s="10" t="s">
        <v>81</v>
      </c>
      <c r="G9" s="10" t="s">
        <v>82</v>
      </c>
      <c r="H9" s="11" t="n">
        <v>600000</v>
      </c>
      <c r="I9" s="10" t="s">
        <v>83</v>
      </c>
      <c r="J9" s="10" t="s">
        <v>84</v>
      </c>
      <c r="K9" s="10" t="s">
        <v>85</v>
      </c>
      <c r="L9" s="12" t="n">
        <v>420000</v>
      </c>
      <c r="M9" s="12" t="n">
        <v>0</v>
      </c>
      <c r="N9" s="12" t="n">
        <f aca="false">L9+M9</f>
        <v>420000</v>
      </c>
      <c r="O9" s="12" t="n">
        <f aca="false">IF(H9&gt;0,H9-N9,"No credit")</f>
        <v>180000</v>
      </c>
    </row>
    <row r="10" customFormat="false" ht="15" hidden="false" customHeight="false" outlineLevel="0" collapsed="false">
      <c r="A10" s="10" t="s">
        <v>98</v>
      </c>
      <c r="B10" s="10" t="s">
        <v>99</v>
      </c>
      <c r="C10" s="10" t="s">
        <v>78</v>
      </c>
      <c r="D10" s="10" t="s">
        <v>96</v>
      </c>
      <c r="E10" s="10" t="s">
        <v>97</v>
      </c>
      <c r="F10" s="10" t="s">
        <v>81</v>
      </c>
      <c r="G10" s="10" t="s">
        <v>91</v>
      </c>
      <c r="H10" s="11" t="n">
        <v>250000</v>
      </c>
      <c r="I10" s="10" t="s">
        <v>83</v>
      </c>
      <c r="J10" s="10" t="s">
        <v>84</v>
      </c>
      <c r="K10" s="10" t="s">
        <v>85</v>
      </c>
      <c r="L10" s="12" t="n">
        <v>160000</v>
      </c>
      <c r="M10" s="12" t="n">
        <v>0</v>
      </c>
      <c r="N10" s="12" t="n">
        <f aca="false">L10+M10</f>
        <v>160000</v>
      </c>
      <c r="O10" s="12" t="n">
        <f aca="false">IF(H10&gt;0,H10-N10,"No credit")</f>
        <v>90000</v>
      </c>
    </row>
    <row r="11" customFormat="false" ht="15" hidden="false" customHeight="false" outlineLevel="0" collapsed="false">
      <c r="A11" s="10" t="s">
        <v>100</v>
      </c>
      <c r="B11" s="10" t="s">
        <v>101</v>
      </c>
      <c r="C11" s="10" t="s">
        <v>78</v>
      </c>
      <c r="D11" s="10" t="s">
        <v>102</v>
      </c>
      <c r="E11" s="10" t="s">
        <v>103</v>
      </c>
      <c r="F11" s="10" t="s">
        <v>81</v>
      </c>
      <c r="G11" s="10" t="s">
        <v>82</v>
      </c>
      <c r="H11" s="11" t="n">
        <v>700000</v>
      </c>
      <c r="I11" s="10" t="s">
        <v>83</v>
      </c>
      <c r="J11" s="10" t="s">
        <v>84</v>
      </c>
      <c r="K11" s="10" t="s">
        <v>85</v>
      </c>
      <c r="L11" s="12" t="n">
        <v>290000</v>
      </c>
      <c r="M11" s="12" t="n">
        <v>230000</v>
      </c>
      <c r="N11" s="12" t="n">
        <f aca="false">L11+M11</f>
        <v>520000</v>
      </c>
      <c r="O11" s="12" t="n">
        <f aca="false">IF(H11&gt;0,H11-N11,"No credit")</f>
        <v>180000</v>
      </c>
    </row>
    <row r="12" customFormat="false" ht="15" hidden="false" customHeight="false" outlineLevel="0" collapsed="false">
      <c r="A12" s="10" t="s">
        <v>104</v>
      </c>
      <c r="B12" s="10" t="s">
        <v>105</v>
      </c>
      <c r="C12" s="10" t="s">
        <v>78</v>
      </c>
      <c r="D12" s="10" t="s">
        <v>106</v>
      </c>
      <c r="E12" s="10" t="s">
        <v>103</v>
      </c>
      <c r="F12" s="10" t="s">
        <v>81</v>
      </c>
      <c r="G12" s="10" t="s">
        <v>82</v>
      </c>
      <c r="H12" s="11" t="n">
        <v>300000</v>
      </c>
      <c r="I12" s="10" t="s">
        <v>83</v>
      </c>
      <c r="J12" s="10" t="s">
        <v>84</v>
      </c>
      <c r="K12" s="10" t="s">
        <v>85</v>
      </c>
      <c r="L12" s="12" t="n">
        <v>180000</v>
      </c>
      <c r="M12" s="12" t="n">
        <v>0</v>
      </c>
      <c r="N12" s="12" t="n">
        <f aca="false">L12+M12</f>
        <v>180000</v>
      </c>
      <c r="O12" s="12" t="n">
        <f aca="false">IF(H12&gt;0,H12-N12,"No credit")</f>
        <v>120000</v>
      </c>
    </row>
    <row r="13" customFormat="false" ht="15" hidden="false" customHeight="false" outlineLevel="0" collapsed="false">
      <c r="A13" s="10" t="s">
        <v>107</v>
      </c>
      <c r="B13" s="10" t="s">
        <v>108</v>
      </c>
      <c r="C13" s="10" t="s">
        <v>78</v>
      </c>
      <c r="D13" s="10" t="s">
        <v>109</v>
      </c>
      <c r="E13" s="10" t="s">
        <v>103</v>
      </c>
      <c r="F13" s="10" t="s">
        <v>81</v>
      </c>
      <c r="G13" s="10" t="s">
        <v>82</v>
      </c>
      <c r="H13" s="11" t="n">
        <v>300000</v>
      </c>
      <c r="I13" s="10" t="s">
        <v>83</v>
      </c>
      <c r="J13" s="10" t="s">
        <v>84</v>
      </c>
      <c r="K13" s="10" t="s">
        <v>85</v>
      </c>
      <c r="L13" s="12" t="n">
        <v>150000</v>
      </c>
      <c r="M13" s="12" t="n">
        <v>0</v>
      </c>
      <c r="N13" s="12" t="n">
        <f aca="false">L13+M13</f>
        <v>150000</v>
      </c>
      <c r="O13" s="12" t="n">
        <f aca="false">IF(H13&gt;0,H13-N13,"No credit")</f>
        <v>150000</v>
      </c>
    </row>
    <row r="14" customFormat="false" ht="15" hidden="false" customHeight="false" outlineLevel="0" collapsed="false">
      <c r="A14" s="10" t="s">
        <v>110</v>
      </c>
      <c r="B14" s="10" t="s">
        <v>111</v>
      </c>
      <c r="C14" s="10" t="s">
        <v>78</v>
      </c>
      <c r="D14" s="10" t="s">
        <v>112</v>
      </c>
      <c r="E14" s="10" t="s">
        <v>103</v>
      </c>
      <c r="F14" s="10" t="s">
        <v>81</v>
      </c>
      <c r="G14" s="10" t="s">
        <v>91</v>
      </c>
      <c r="H14" s="11" t="n">
        <v>200000</v>
      </c>
      <c r="I14" s="10" t="s">
        <v>83</v>
      </c>
      <c r="J14" s="10" t="s">
        <v>84</v>
      </c>
      <c r="K14" s="10" t="s">
        <v>85</v>
      </c>
      <c r="L14" s="12" t="n">
        <v>0</v>
      </c>
      <c r="M14" s="12" t="n">
        <v>0</v>
      </c>
      <c r="N14" s="12" t="n">
        <f aca="false">L14+M14</f>
        <v>0</v>
      </c>
      <c r="O14" s="12" t="n">
        <f aca="false">IF(H14&gt;0,H14-N14,"No credit")</f>
        <v>200000</v>
      </c>
    </row>
    <row r="15" customFormat="false" ht="15" hidden="false" customHeight="false" outlineLevel="0" collapsed="false">
      <c r="A15" s="10" t="s">
        <v>113</v>
      </c>
      <c r="B15" s="10" t="s">
        <v>114</v>
      </c>
      <c r="C15" s="10" t="s">
        <v>78</v>
      </c>
      <c r="D15" s="10" t="s">
        <v>115</v>
      </c>
      <c r="E15" s="10" t="s">
        <v>116</v>
      </c>
      <c r="F15" s="10" t="s">
        <v>81</v>
      </c>
      <c r="G15" s="10" t="s">
        <v>117</v>
      </c>
      <c r="H15" s="11" t="n">
        <v>350000</v>
      </c>
      <c r="I15" s="10" t="s">
        <v>83</v>
      </c>
      <c r="J15" s="10" t="s">
        <v>84</v>
      </c>
      <c r="K15" s="10" t="s">
        <v>85</v>
      </c>
      <c r="L15" s="12" t="n">
        <v>140000</v>
      </c>
      <c r="M15" s="12" t="n">
        <v>0</v>
      </c>
      <c r="N15" s="12" t="n">
        <f aca="false">L15+M15</f>
        <v>140000</v>
      </c>
      <c r="O15" s="12" t="n">
        <f aca="false">IF(H15&gt;0,H15-N15,"No credit")</f>
        <v>210000</v>
      </c>
    </row>
    <row r="16" customFormat="false" ht="15" hidden="false" customHeight="false" outlineLevel="0" collapsed="false">
      <c r="A16" s="10" t="s">
        <v>118</v>
      </c>
      <c r="B16" s="10" t="s">
        <v>119</v>
      </c>
      <c r="C16" s="10" t="s">
        <v>78</v>
      </c>
      <c r="D16" s="10" t="s">
        <v>120</v>
      </c>
      <c r="E16" s="10" t="s">
        <v>116</v>
      </c>
      <c r="F16" s="10" t="s">
        <v>81</v>
      </c>
      <c r="G16" s="10" t="s">
        <v>82</v>
      </c>
      <c r="H16" s="11" t="n">
        <v>200000</v>
      </c>
      <c r="I16" s="10" t="s">
        <v>83</v>
      </c>
      <c r="J16" s="10" t="s">
        <v>84</v>
      </c>
      <c r="K16" s="10" t="s">
        <v>85</v>
      </c>
      <c r="L16" s="12" t="n">
        <v>50000</v>
      </c>
      <c r="M16" s="12" t="n">
        <v>0</v>
      </c>
      <c r="N16" s="12" t="n">
        <f aca="false">L16+M16</f>
        <v>50000</v>
      </c>
      <c r="O16" s="12" t="n">
        <f aca="false">IF(H16&gt;0,H16-N16,"No credit")</f>
        <v>150000</v>
      </c>
    </row>
    <row r="17" customFormat="false" ht="15" hidden="false" customHeight="false" outlineLevel="0" collapsed="false">
      <c r="A17" s="10" t="s">
        <v>121</v>
      </c>
      <c r="B17" s="10" t="s">
        <v>122</v>
      </c>
      <c r="C17" s="10" t="s">
        <v>123</v>
      </c>
      <c r="D17" s="10" t="s">
        <v>115</v>
      </c>
      <c r="E17" s="10" t="s">
        <v>116</v>
      </c>
      <c r="F17" s="10" t="s">
        <v>124</v>
      </c>
      <c r="G17" s="10" t="s">
        <v>117</v>
      </c>
      <c r="H17" s="11" t="n">
        <v>1000000</v>
      </c>
      <c r="I17" s="10" t="s">
        <v>125</v>
      </c>
      <c r="J17" s="10" t="s">
        <v>126</v>
      </c>
      <c r="K17" s="10" t="s">
        <v>127</v>
      </c>
      <c r="L17" s="12" t="n">
        <v>420000</v>
      </c>
      <c r="M17" s="12" t="n">
        <v>150000</v>
      </c>
      <c r="N17" s="12" t="n">
        <f aca="false">L17+M17</f>
        <v>570000</v>
      </c>
      <c r="O17" s="12" t="n">
        <f aca="false">IF(H17&gt;0,H17-N17,"No credit")</f>
        <v>430000</v>
      </c>
    </row>
    <row r="18" customFormat="false" ht="15" hidden="false" customHeight="false" outlineLevel="0" collapsed="false">
      <c r="A18" s="10" t="s">
        <v>128</v>
      </c>
      <c r="B18" s="10" t="s">
        <v>129</v>
      </c>
      <c r="C18" s="10" t="s">
        <v>123</v>
      </c>
      <c r="D18" s="10" t="s">
        <v>102</v>
      </c>
      <c r="E18" s="10" t="s">
        <v>103</v>
      </c>
      <c r="F18" s="10" t="s">
        <v>124</v>
      </c>
      <c r="G18" s="10" t="s">
        <v>117</v>
      </c>
      <c r="H18" s="11" t="n">
        <v>900000</v>
      </c>
      <c r="I18" s="10" t="s">
        <v>125</v>
      </c>
      <c r="J18" s="10" t="s">
        <v>126</v>
      </c>
      <c r="K18" s="10" t="s">
        <v>127</v>
      </c>
      <c r="L18" s="12" t="n">
        <v>380000</v>
      </c>
      <c r="M18" s="12" t="n">
        <v>0</v>
      </c>
      <c r="N18" s="12" t="n">
        <f aca="false">L18+M18</f>
        <v>380000</v>
      </c>
      <c r="O18" s="12" t="n">
        <f aca="false">IF(H18&gt;0,H18-N18,"No credit")</f>
        <v>520000</v>
      </c>
    </row>
    <row r="19" customFormat="false" ht="15" hidden="false" customHeight="false" outlineLevel="0" collapsed="false">
      <c r="A19" s="10" t="s">
        <v>130</v>
      </c>
      <c r="B19" s="10" t="s">
        <v>131</v>
      </c>
      <c r="C19" s="10" t="s">
        <v>132</v>
      </c>
      <c r="D19" s="10" t="s">
        <v>133</v>
      </c>
      <c r="E19" s="10" t="s">
        <v>134</v>
      </c>
      <c r="F19" s="10" t="s">
        <v>134</v>
      </c>
      <c r="G19" s="10" t="s">
        <v>135</v>
      </c>
      <c r="H19" s="11" t="n">
        <v>800000</v>
      </c>
      <c r="I19" s="10" t="s">
        <v>125</v>
      </c>
      <c r="J19" s="10" t="s">
        <v>136</v>
      </c>
      <c r="K19" s="10" t="s">
        <v>137</v>
      </c>
      <c r="L19" s="12" t="n">
        <v>300000</v>
      </c>
      <c r="M19" s="12" t="n">
        <v>0</v>
      </c>
      <c r="N19" s="12" t="n">
        <f aca="false">L19+M19</f>
        <v>300000</v>
      </c>
      <c r="O19" s="12" t="n">
        <f aca="false">IF(H19&gt;0,H19-N19,"No credit")</f>
        <v>500000</v>
      </c>
    </row>
    <row r="20" customFormat="false" ht="15" hidden="false" customHeight="false" outlineLevel="0" collapsed="false">
      <c r="A20" s="10" t="s">
        <v>138</v>
      </c>
      <c r="B20" s="10" t="s">
        <v>139</v>
      </c>
      <c r="C20" s="10" t="s">
        <v>132</v>
      </c>
      <c r="D20" s="10" t="s">
        <v>140</v>
      </c>
      <c r="E20" s="10" t="s">
        <v>134</v>
      </c>
      <c r="F20" s="10" t="s">
        <v>134</v>
      </c>
      <c r="G20" s="10" t="s">
        <v>141</v>
      </c>
      <c r="H20" s="11" t="n">
        <v>700000</v>
      </c>
      <c r="I20" s="10" t="s">
        <v>125</v>
      </c>
      <c r="J20" s="10" t="s">
        <v>136</v>
      </c>
      <c r="K20" s="10" t="s">
        <v>137</v>
      </c>
      <c r="L20" s="12" t="n">
        <v>250000</v>
      </c>
      <c r="M20" s="12" t="n">
        <v>0</v>
      </c>
      <c r="N20" s="12" t="n">
        <f aca="false">L20+M20</f>
        <v>250000</v>
      </c>
      <c r="O20" s="12" t="n">
        <f aca="false">IF(H20&gt;0,H20-N20,"No credit")</f>
        <v>450000</v>
      </c>
    </row>
    <row r="21" customFormat="false" ht="15" hidden="false" customHeight="false" outlineLevel="0" collapsed="false">
      <c r="A21" s="10" t="s">
        <v>142</v>
      </c>
      <c r="B21" s="10" t="s">
        <v>143</v>
      </c>
      <c r="C21" s="10" t="s">
        <v>132</v>
      </c>
      <c r="D21" s="10" t="s">
        <v>96</v>
      </c>
      <c r="E21" s="10" t="s">
        <v>134</v>
      </c>
      <c r="F21" s="10" t="s">
        <v>134</v>
      </c>
      <c r="G21" s="10" t="s">
        <v>117</v>
      </c>
      <c r="H21" s="11" t="n">
        <v>500000</v>
      </c>
      <c r="I21" s="10" t="s">
        <v>125</v>
      </c>
      <c r="J21" s="10" t="s">
        <v>136</v>
      </c>
      <c r="K21" s="10" t="s">
        <v>137</v>
      </c>
      <c r="L21" s="12" t="n">
        <v>0</v>
      </c>
      <c r="M21" s="12" t="n">
        <v>0</v>
      </c>
      <c r="N21" s="12" t="n">
        <f aca="false">L21+M21</f>
        <v>0</v>
      </c>
      <c r="O21" s="12" t="n">
        <f aca="false">IF(H21&gt;0,H21-N21,"No credit")</f>
        <v>500000</v>
      </c>
    </row>
    <row r="22" customFormat="false" ht="15" hidden="false" customHeight="false" outlineLevel="0" collapsed="false">
      <c r="A22" s="10" t="s">
        <v>144</v>
      </c>
      <c r="B22" s="10" t="s">
        <v>145</v>
      </c>
      <c r="C22" s="10" t="s">
        <v>146</v>
      </c>
      <c r="D22" s="10" t="s">
        <v>79</v>
      </c>
      <c r="E22" s="10" t="s">
        <v>147</v>
      </c>
      <c r="F22" s="10" t="s">
        <v>148</v>
      </c>
      <c r="G22" s="10" t="s">
        <v>149</v>
      </c>
      <c r="H22" s="11"/>
      <c r="I22" s="10" t="s">
        <v>83</v>
      </c>
      <c r="J22" s="10" t="s">
        <v>150</v>
      </c>
      <c r="K22" s="10" t="s">
        <v>151</v>
      </c>
      <c r="L22" s="12" t="n">
        <v>0</v>
      </c>
      <c r="M22" s="12" t="n">
        <v>0</v>
      </c>
      <c r="N22" s="12" t="n">
        <f aca="false">L22+M22</f>
        <v>0</v>
      </c>
      <c r="O22" s="12" t="str">
        <f aca="false">IF(H22&gt;0,H22-N22,"No credit")</f>
        <v>No credit</v>
      </c>
    </row>
    <row r="23" customFormat="false" ht="15" hidden="false" customHeight="false" outlineLevel="0" collapsed="false">
      <c r="A23" s="13" t="s">
        <v>152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5" t="n">
        <f aca="false">SUM(L5:L22)</f>
        <v>3750000</v>
      </c>
      <c r="M23" s="15" t="n">
        <f aca="false">SUM(M5:M22)</f>
        <v>580000</v>
      </c>
      <c r="N23" s="15" t="n">
        <f aca="false">SUM(N5:N22)</f>
        <v>4330000</v>
      </c>
      <c r="O2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40"/>
    <col collapsed="false" customWidth="true" hidden="false" outlineLevel="0" max="11" min="11" style="0" width="11"/>
    <col collapsed="false" customWidth="true" hidden="false" outlineLevel="0" max="13" min="12" style="0" width="18"/>
    <col collapsed="false" customWidth="true" hidden="false" outlineLevel="0" max="14" min="14" style="0" width="12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8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9" t="s">
        <v>62</v>
      </c>
      <c r="B4" s="9" t="s">
        <v>155</v>
      </c>
      <c r="C4" s="9" t="s">
        <v>64</v>
      </c>
      <c r="D4" s="9" t="s">
        <v>65</v>
      </c>
      <c r="E4" s="9" t="s">
        <v>156</v>
      </c>
      <c r="F4" s="9" t="s">
        <v>157</v>
      </c>
      <c r="G4" s="9" t="s">
        <v>11</v>
      </c>
      <c r="H4" s="9" t="s">
        <v>158</v>
      </c>
      <c r="I4" s="9" t="s">
        <v>70</v>
      </c>
      <c r="J4" s="9" t="s">
        <v>159</v>
      </c>
      <c r="K4" s="9" t="s">
        <v>160</v>
      </c>
      <c r="L4" s="9" t="s">
        <v>161</v>
      </c>
      <c r="M4" s="9" t="s">
        <v>162</v>
      </c>
      <c r="N4" s="9" t="s">
        <v>163</v>
      </c>
      <c r="O4" s="9" t="s">
        <v>164</v>
      </c>
    </row>
    <row r="5" customFormat="false" ht="15" hidden="false" customHeight="false" outlineLevel="0" collapsed="false">
      <c r="A5" s="10" t="s">
        <v>165</v>
      </c>
      <c r="B5" s="10" t="s">
        <v>166</v>
      </c>
      <c r="C5" s="10" t="s">
        <v>167</v>
      </c>
      <c r="D5" s="10" t="s">
        <v>79</v>
      </c>
      <c r="E5" s="10" t="s">
        <v>168</v>
      </c>
      <c r="F5" s="10" t="s">
        <v>169</v>
      </c>
      <c r="G5" s="10" t="s">
        <v>117</v>
      </c>
      <c r="H5" s="10" t="s">
        <v>170</v>
      </c>
      <c r="I5" s="10" t="s">
        <v>84</v>
      </c>
      <c r="J5" s="10" t="s">
        <v>171</v>
      </c>
      <c r="K5" s="11" t="n">
        <v>5</v>
      </c>
      <c r="L5" s="12" t="n">
        <v>1200000</v>
      </c>
      <c r="M5" s="12"/>
      <c r="N5" s="12" t="n">
        <v>400000</v>
      </c>
      <c r="O5" s="12" t="n">
        <f aca="false">L5+N5</f>
        <v>1600000</v>
      </c>
    </row>
    <row r="6" customFormat="false" ht="15" hidden="false" customHeight="false" outlineLevel="0" collapsed="false">
      <c r="A6" s="10" t="s">
        <v>172</v>
      </c>
      <c r="B6" s="10" t="s">
        <v>173</v>
      </c>
      <c r="C6" s="10" t="s">
        <v>167</v>
      </c>
      <c r="D6" s="10" t="s">
        <v>79</v>
      </c>
      <c r="E6" s="10" t="s">
        <v>168</v>
      </c>
      <c r="F6" s="10" t="s">
        <v>169</v>
      </c>
      <c r="G6" s="10" t="s">
        <v>82</v>
      </c>
      <c r="H6" s="10" t="s">
        <v>170</v>
      </c>
      <c r="I6" s="10" t="s">
        <v>136</v>
      </c>
      <c r="J6" s="10" t="s">
        <v>171</v>
      </c>
      <c r="K6" s="11" t="n">
        <v>4</v>
      </c>
      <c r="L6" s="12" t="n">
        <v>650000</v>
      </c>
      <c r="M6" s="12"/>
      <c r="N6" s="12" t="n">
        <v>0</v>
      </c>
      <c r="O6" s="12" t="n">
        <f aca="false">L6+N6</f>
        <v>650000</v>
      </c>
    </row>
    <row r="7" customFormat="false" ht="15" hidden="false" customHeight="false" outlineLevel="0" collapsed="false">
      <c r="A7" s="10" t="s">
        <v>174</v>
      </c>
      <c r="B7" s="10" t="s">
        <v>175</v>
      </c>
      <c r="C7" s="10" t="s">
        <v>167</v>
      </c>
      <c r="D7" s="10" t="s">
        <v>176</v>
      </c>
      <c r="E7" s="10" t="s">
        <v>168</v>
      </c>
      <c r="F7" s="10" t="s">
        <v>169</v>
      </c>
      <c r="G7" s="10" t="s">
        <v>82</v>
      </c>
      <c r="H7" s="10" t="s">
        <v>170</v>
      </c>
      <c r="I7" s="10" t="s">
        <v>84</v>
      </c>
      <c r="J7" s="10" t="s">
        <v>171</v>
      </c>
      <c r="K7" s="11" t="n">
        <v>5</v>
      </c>
      <c r="L7" s="12" t="n">
        <v>700000</v>
      </c>
      <c r="M7" s="12"/>
      <c r="N7" s="12" t="n">
        <v>320000</v>
      </c>
      <c r="O7" s="12" t="n">
        <f aca="false">L7+N7</f>
        <v>1020000</v>
      </c>
    </row>
    <row r="8" customFormat="false" ht="15" hidden="false" customHeight="false" outlineLevel="0" collapsed="false">
      <c r="A8" s="10" t="s">
        <v>177</v>
      </c>
      <c r="B8" s="10" t="s">
        <v>178</v>
      </c>
      <c r="C8" s="10" t="s">
        <v>179</v>
      </c>
      <c r="D8" s="10" t="s">
        <v>176</v>
      </c>
      <c r="E8" s="10" t="s">
        <v>168</v>
      </c>
      <c r="F8" s="10" t="s">
        <v>169</v>
      </c>
      <c r="G8" s="10" t="s">
        <v>82</v>
      </c>
      <c r="H8" s="10" t="s">
        <v>170</v>
      </c>
      <c r="I8" s="10" t="s">
        <v>136</v>
      </c>
      <c r="J8" s="10" t="s">
        <v>171</v>
      </c>
      <c r="K8" s="11" t="n">
        <v>7</v>
      </c>
      <c r="L8" s="12" t="n">
        <v>120000</v>
      </c>
      <c r="M8" s="12"/>
      <c r="N8" s="12" t="n">
        <v>0</v>
      </c>
      <c r="O8" s="12" t="n">
        <f aca="false">L8+N8</f>
        <v>120000</v>
      </c>
    </row>
    <row r="9" customFormat="false" ht="15" hidden="false" customHeight="false" outlineLevel="0" collapsed="false">
      <c r="A9" s="10" t="s">
        <v>180</v>
      </c>
      <c r="B9" s="10" t="s">
        <v>181</v>
      </c>
      <c r="C9" s="10" t="s">
        <v>179</v>
      </c>
      <c r="D9" s="10" t="s">
        <v>182</v>
      </c>
      <c r="E9" s="10" t="s">
        <v>168</v>
      </c>
      <c r="F9" s="10" t="s">
        <v>169</v>
      </c>
      <c r="G9" s="10" t="s">
        <v>82</v>
      </c>
      <c r="H9" s="10" t="s">
        <v>170</v>
      </c>
      <c r="I9" s="10" t="s">
        <v>136</v>
      </c>
      <c r="J9" s="10" t="s">
        <v>171</v>
      </c>
      <c r="K9" s="11" t="n">
        <v>7</v>
      </c>
      <c r="L9" s="12" t="n">
        <v>80000</v>
      </c>
      <c r="M9" s="12"/>
      <c r="N9" s="12" t="n">
        <v>0</v>
      </c>
      <c r="O9" s="12" t="n">
        <f aca="false">L9+N9</f>
        <v>80000</v>
      </c>
    </row>
    <row r="10" customFormat="false" ht="15" hidden="false" customHeight="false" outlineLevel="0" collapsed="false">
      <c r="A10" s="10" t="s">
        <v>183</v>
      </c>
      <c r="B10" s="10" t="s">
        <v>184</v>
      </c>
      <c r="C10" s="10" t="s">
        <v>179</v>
      </c>
      <c r="D10" s="10" t="s">
        <v>185</v>
      </c>
      <c r="E10" s="10" t="s">
        <v>168</v>
      </c>
      <c r="F10" s="10" t="s">
        <v>169</v>
      </c>
      <c r="G10" s="10" t="s">
        <v>82</v>
      </c>
      <c r="H10" s="10" t="s">
        <v>170</v>
      </c>
      <c r="I10" s="10" t="s">
        <v>136</v>
      </c>
      <c r="J10" s="10" t="s">
        <v>171</v>
      </c>
      <c r="K10" s="11" t="n">
        <v>5</v>
      </c>
      <c r="L10" s="12" t="n">
        <v>60000</v>
      </c>
      <c r="M10" s="12"/>
      <c r="N10" s="12" t="n">
        <v>0</v>
      </c>
      <c r="O10" s="12" t="n">
        <f aca="false">L10+N10</f>
        <v>60000</v>
      </c>
    </row>
    <row r="11" customFormat="false" ht="15" hidden="false" customHeight="false" outlineLevel="0" collapsed="false">
      <c r="A11" s="10" t="s">
        <v>186</v>
      </c>
      <c r="B11" s="10" t="s">
        <v>187</v>
      </c>
      <c r="C11" s="10" t="s">
        <v>179</v>
      </c>
      <c r="D11" s="10" t="s">
        <v>188</v>
      </c>
      <c r="E11" s="10" t="s">
        <v>168</v>
      </c>
      <c r="F11" s="10" t="s">
        <v>169</v>
      </c>
      <c r="G11" s="10" t="s">
        <v>91</v>
      </c>
      <c r="H11" s="10" t="s">
        <v>170</v>
      </c>
      <c r="I11" s="10" t="s">
        <v>136</v>
      </c>
      <c r="J11" s="10" t="s">
        <v>171</v>
      </c>
      <c r="K11" s="11" t="n">
        <v>3</v>
      </c>
      <c r="L11" s="12" t="n">
        <v>40000</v>
      </c>
      <c r="M11" s="12"/>
      <c r="N11" s="12" t="n">
        <v>0</v>
      </c>
      <c r="O11" s="12" t="n">
        <f aca="false">L11+N11</f>
        <v>40000</v>
      </c>
    </row>
    <row r="12" customFormat="false" ht="15" hidden="false" customHeight="false" outlineLevel="0" collapsed="false">
      <c r="A12" s="10" t="s">
        <v>189</v>
      </c>
      <c r="B12" s="10" t="s">
        <v>190</v>
      </c>
      <c r="C12" s="10" t="s">
        <v>191</v>
      </c>
      <c r="D12" s="10" t="s">
        <v>192</v>
      </c>
      <c r="E12" s="10" t="s">
        <v>193</v>
      </c>
      <c r="F12" s="10" t="s">
        <v>194</v>
      </c>
      <c r="G12" s="10" t="s">
        <v>135</v>
      </c>
      <c r="H12" s="10" t="s">
        <v>195</v>
      </c>
      <c r="I12" s="10" t="s">
        <v>196</v>
      </c>
      <c r="J12" s="10" t="s">
        <v>197</v>
      </c>
      <c r="K12" s="11" t="n">
        <v>60</v>
      </c>
      <c r="L12" s="12" t="n">
        <v>1200000</v>
      </c>
      <c r="M12" s="12" t="n">
        <v>24000</v>
      </c>
      <c r="N12" s="12" t="n">
        <v>0</v>
      </c>
      <c r="O12" s="12" t="n">
        <f aca="false">L12+N12</f>
        <v>1200000</v>
      </c>
    </row>
    <row r="13" customFormat="false" ht="15" hidden="false" customHeight="false" outlineLevel="0" collapsed="false">
      <c r="A13" s="10" t="s">
        <v>198</v>
      </c>
      <c r="B13" s="10" t="s">
        <v>199</v>
      </c>
      <c r="C13" s="10" t="s">
        <v>191</v>
      </c>
      <c r="D13" s="10" t="s">
        <v>200</v>
      </c>
      <c r="E13" s="10" t="s">
        <v>193</v>
      </c>
      <c r="F13" s="10" t="s">
        <v>194</v>
      </c>
      <c r="G13" s="10" t="s">
        <v>117</v>
      </c>
      <c r="H13" s="10" t="s">
        <v>195</v>
      </c>
      <c r="I13" s="10" t="s">
        <v>196</v>
      </c>
      <c r="J13" s="10" t="s">
        <v>201</v>
      </c>
      <c r="K13" s="11" t="n">
        <v>45</v>
      </c>
      <c r="L13" s="12" t="n">
        <v>450000</v>
      </c>
      <c r="M13" s="12" t="n">
        <v>9000</v>
      </c>
      <c r="N13" s="12" t="n">
        <v>0</v>
      </c>
      <c r="O13" s="12" t="n">
        <f aca="false">L13+N13</f>
        <v>450000</v>
      </c>
    </row>
    <row r="14" customFormat="false" ht="15" hidden="false" customHeight="false" outlineLevel="0" collapsed="false">
      <c r="A14" s="10" t="s">
        <v>202</v>
      </c>
      <c r="B14" s="10" t="s">
        <v>203</v>
      </c>
      <c r="C14" s="10" t="s">
        <v>191</v>
      </c>
      <c r="D14" s="10" t="s">
        <v>204</v>
      </c>
      <c r="E14" s="10" t="s">
        <v>193</v>
      </c>
      <c r="F14" s="10" t="s">
        <v>194</v>
      </c>
      <c r="G14" s="10" t="s">
        <v>117</v>
      </c>
      <c r="H14" s="10" t="s">
        <v>195</v>
      </c>
      <c r="I14" s="10" t="s">
        <v>196</v>
      </c>
      <c r="J14" s="10" t="s">
        <v>205</v>
      </c>
      <c r="K14" s="11" t="n">
        <v>50</v>
      </c>
      <c r="L14" s="12" t="n">
        <v>300000</v>
      </c>
      <c r="M14" s="12" t="n">
        <v>6000</v>
      </c>
      <c r="N14" s="12" t="n">
        <v>0</v>
      </c>
      <c r="O14" s="12" t="n">
        <f aca="false">L14+N14</f>
        <v>300000</v>
      </c>
    </row>
    <row r="15" customFormat="false" ht="15" hidden="false" customHeight="false" outlineLevel="0" collapsed="false">
      <c r="A15" s="10" t="s">
        <v>206</v>
      </c>
      <c r="B15" s="10" t="s">
        <v>207</v>
      </c>
      <c r="C15" s="10" t="s">
        <v>208</v>
      </c>
      <c r="D15" s="10" t="s">
        <v>96</v>
      </c>
      <c r="E15" s="10" t="s">
        <v>168</v>
      </c>
      <c r="F15" s="10" t="s">
        <v>169</v>
      </c>
      <c r="G15" s="10" t="s">
        <v>149</v>
      </c>
      <c r="H15" s="10" t="s">
        <v>170</v>
      </c>
      <c r="I15" s="10" t="s">
        <v>136</v>
      </c>
      <c r="J15" s="10" t="s">
        <v>209</v>
      </c>
      <c r="K15" s="11"/>
      <c r="L15" s="12" t="n">
        <v>0</v>
      </c>
      <c r="M15" s="12"/>
      <c r="N15" s="12" t="n">
        <v>0</v>
      </c>
      <c r="O15" s="12" t="n">
        <f aca="false">L15+N15</f>
        <v>0</v>
      </c>
    </row>
    <row r="16" customFormat="false" ht="15" hidden="false" customHeight="false" outlineLevel="0" collapsed="false">
      <c r="A16" s="10" t="s">
        <v>210</v>
      </c>
      <c r="B16" s="10" t="s">
        <v>211</v>
      </c>
      <c r="C16" s="10" t="s">
        <v>208</v>
      </c>
      <c r="D16" s="10" t="s">
        <v>112</v>
      </c>
      <c r="E16" s="10" t="s">
        <v>168</v>
      </c>
      <c r="F16" s="10" t="s">
        <v>169</v>
      </c>
      <c r="G16" s="10" t="s">
        <v>149</v>
      </c>
      <c r="H16" s="10" t="s">
        <v>170</v>
      </c>
      <c r="I16" s="10" t="s">
        <v>136</v>
      </c>
      <c r="J16" s="10" t="s">
        <v>209</v>
      </c>
      <c r="K16" s="11"/>
      <c r="L16" s="12" t="n">
        <v>0</v>
      </c>
      <c r="M16" s="12"/>
      <c r="N16" s="12" t="n">
        <v>0</v>
      </c>
      <c r="O16" s="12" t="n">
        <f aca="false">L16+N16</f>
        <v>0</v>
      </c>
    </row>
    <row r="17" customFormat="false" ht="15" hidden="false" customHeight="false" outlineLevel="0" collapsed="false">
      <c r="A17" s="10" t="s">
        <v>212</v>
      </c>
      <c r="B17" s="10" t="s">
        <v>213</v>
      </c>
      <c r="C17" s="10" t="s">
        <v>208</v>
      </c>
      <c r="D17" s="10" t="s">
        <v>79</v>
      </c>
      <c r="E17" s="10" t="s">
        <v>168</v>
      </c>
      <c r="F17" s="10" t="s">
        <v>169</v>
      </c>
      <c r="G17" s="10" t="s">
        <v>149</v>
      </c>
      <c r="H17" s="10" t="s">
        <v>170</v>
      </c>
      <c r="I17" s="10" t="s">
        <v>136</v>
      </c>
      <c r="J17" s="10" t="s">
        <v>209</v>
      </c>
      <c r="K17" s="11"/>
      <c r="L17" s="12" t="n">
        <v>0</v>
      </c>
      <c r="M17" s="12"/>
      <c r="N17" s="12" t="n">
        <v>0</v>
      </c>
      <c r="O17" s="12" t="n">
        <f aca="false">L17+N17</f>
        <v>0</v>
      </c>
    </row>
    <row r="18" customFormat="false" ht="15" hidden="false" customHeight="false" outlineLevel="0" collapsed="false">
      <c r="A18" s="10" t="s">
        <v>214</v>
      </c>
      <c r="B18" s="10" t="s">
        <v>215</v>
      </c>
      <c r="C18" s="10" t="s">
        <v>216</v>
      </c>
      <c r="D18" s="10" t="s">
        <v>96</v>
      </c>
      <c r="E18" s="10" t="s">
        <v>168</v>
      </c>
      <c r="F18" s="10" t="s">
        <v>169</v>
      </c>
      <c r="G18" s="10" t="s">
        <v>149</v>
      </c>
      <c r="H18" s="10" t="s">
        <v>170</v>
      </c>
      <c r="I18" s="10" t="s">
        <v>136</v>
      </c>
      <c r="J18" s="10" t="s">
        <v>217</v>
      </c>
      <c r="K18" s="11"/>
      <c r="L18" s="12" t="n">
        <v>0</v>
      </c>
      <c r="M18" s="12"/>
      <c r="N18" s="12" t="n">
        <v>0</v>
      </c>
      <c r="O18" s="12" t="n">
        <f aca="false">L18+N18</f>
        <v>0</v>
      </c>
    </row>
    <row r="19" customFormat="false" ht="15" hidden="false" customHeight="false" outlineLevel="0" collapsed="false">
      <c r="A19" s="13" t="s">
        <v>152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 t="n">
        <f aca="false">SUM(L5:L18)</f>
        <v>4800000</v>
      </c>
      <c r="M19" s="15" t="n">
        <f aca="false">SUM(M5:M18)</f>
        <v>39000</v>
      </c>
      <c r="N19" s="15" t="n">
        <f aca="false">SUM(N5:N18)</f>
        <v>720000</v>
      </c>
      <c r="O19" s="15" t="n">
        <f aca="false">SUM(O5:O18)</f>
        <v>5520000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3"/>
    <col collapsed="false" customWidth="true" hidden="false" outlineLevel="0" max="4" min="3" style="0" width="14"/>
  </cols>
  <sheetData>
    <row r="1" customFormat="false" ht="16.15" hidden="false" customHeight="false" outlineLevel="0" collapsed="false">
      <c r="A1" s="8" t="s">
        <v>11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9" t="s">
        <v>11</v>
      </c>
      <c r="B4" s="9" t="s">
        <v>219</v>
      </c>
      <c r="C4" s="9" t="s">
        <v>5</v>
      </c>
      <c r="D4" s="9" t="s">
        <v>8</v>
      </c>
    </row>
    <row r="5" customFormat="false" ht="15" hidden="false" customHeight="false" outlineLevel="0" collapsed="false">
      <c r="A5" s="10" t="s">
        <v>149</v>
      </c>
      <c r="B5" s="10" t="s">
        <v>220</v>
      </c>
      <c r="C5" s="11" t="n">
        <f aca="false">COUNTIF(Customers!$G$5:$G$22,A5)</f>
        <v>1</v>
      </c>
      <c r="D5" s="11" t="n">
        <f aca="false">COUNTIF(Vendors!$G$5:$G$18,A5)</f>
        <v>4</v>
      </c>
    </row>
    <row r="6" customFormat="false" ht="15" hidden="false" customHeight="false" outlineLevel="0" collapsed="false">
      <c r="A6" s="10" t="s">
        <v>91</v>
      </c>
      <c r="B6" s="10" t="s">
        <v>221</v>
      </c>
      <c r="C6" s="11" t="n">
        <f aca="false">COUNTIF(Customers!$G$5:$G$22,A6)</f>
        <v>4</v>
      </c>
      <c r="D6" s="11" t="n">
        <f aca="false">COUNTIF(Vendors!$G$5:$G$18,A6)</f>
        <v>1</v>
      </c>
    </row>
    <row r="7" customFormat="false" ht="15" hidden="false" customHeight="false" outlineLevel="0" collapsed="false">
      <c r="A7" s="10" t="s">
        <v>82</v>
      </c>
      <c r="B7" s="10" t="s">
        <v>222</v>
      </c>
      <c r="C7" s="11" t="n">
        <f aca="false">COUNTIF(Customers!$G$5:$G$22,A7)</f>
        <v>7</v>
      </c>
      <c r="D7" s="11" t="n">
        <f aca="false">COUNTIF(Vendors!$G$5:$G$18,A7)</f>
        <v>5</v>
      </c>
    </row>
    <row r="8" customFormat="false" ht="15" hidden="false" customHeight="false" outlineLevel="0" collapsed="false">
      <c r="A8" s="10" t="s">
        <v>117</v>
      </c>
      <c r="B8" s="10" t="s">
        <v>223</v>
      </c>
      <c r="C8" s="11" t="n">
        <f aca="false">COUNTIF(Customers!$G$5:$G$22,A8)</f>
        <v>4</v>
      </c>
      <c r="D8" s="11" t="n">
        <f aca="false">COUNTIF(Vendors!$G$5:$G$18,A8)</f>
        <v>3</v>
      </c>
    </row>
    <row r="9" customFormat="false" ht="15" hidden="false" customHeight="false" outlineLevel="0" collapsed="false">
      <c r="A9" s="10" t="s">
        <v>141</v>
      </c>
      <c r="B9" s="10" t="s">
        <v>132</v>
      </c>
      <c r="C9" s="11" t="n">
        <f aca="false">COUNTIF(Customers!$G$5:$G$22,A9)</f>
        <v>1</v>
      </c>
      <c r="D9" s="11" t="n">
        <f aca="false">COUNTIF(Vendors!$G$5:$G$18,A9)</f>
        <v>0</v>
      </c>
    </row>
    <row r="10" customFormat="false" ht="15" hidden="false" customHeight="false" outlineLevel="0" collapsed="false">
      <c r="A10" s="10" t="s">
        <v>135</v>
      </c>
      <c r="B10" s="10" t="s">
        <v>224</v>
      </c>
      <c r="C10" s="11" t="n">
        <f aca="false">COUNTIF(Customers!$G$5:$G$22,A10)</f>
        <v>1</v>
      </c>
      <c r="D10" s="11" t="n">
        <f aca="false">COUNTIF(Vendors!$G$5:$G$18,A10)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</cols>
  <sheetData>
    <row r="1" customFormat="false" ht="16.15" hidden="false" customHeight="false" outlineLevel="0" collapsed="false">
      <c r="A1" s="8" t="s">
        <v>14</v>
      </c>
    </row>
    <row r="2" customFormat="false" ht="15" hidden="false" customHeight="false" outlineLevel="0" collapsed="false">
      <c r="A2" s="2" t="s">
        <v>225</v>
      </c>
    </row>
    <row r="4" customFormat="false" ht="15" hidden="false" customHeight="false" outlineLevel="0" collapsed="false">
      <c r="A4" s="9" t="s">
        <v>66</v>
      </c>
      <c r="B4" s="9" t="s">
        <v>226</v>
      </c>
      <c r="C4" s="9" t="s">
        <v>227</v>
      </c>
      <c r="D4" s="9" t="s">
        <v>5</v>
      </c>
      <c r="E4" s="9" t="s">
        <v>228</v>
      </c>
    </row>
    <row r="5" customFormat="false" ht="15" hidden="false" customHeight="false" outlineLevel="0" collapsed="false">
      <c r="A5" s="10" t="s">
        <v>80</v>
      </c>
      <c r="B5" s="10" t="s">
        <v>229</v>
      </c>
      <c r="C5" s="10" t="s">
        <v>230</v>
      </c>
      <c r="D5" s="11" t="n">
        <f aca="false">COUNTIF(Customers!$E$5:$E$22,A5)</f>
        <v>4</v>
      </c>
      <c r="E5" s="11" t="n">
        <f aca="false">COUNTIF('CRM Pipeline'!$C$5:$C$16,A5)</f>
        <v>2</v>
      </c>
    </row>
    <row r="6" customFormat="false" ht="15" hidden="false" customHeight="false" outlineLevel="0" collapsed="false">
      <c r="A6" s="10" t="s">
        <v>97</v>
      </c>
      <c r="B6" s="10" t="s">
        <v>96</v>
      </c>
      <c r="C6" s="10" t="s">
        <v>231</v>
      </c>
      <c r="D6" s="11" t="n">
        <f aca="false">COUNTIF(Customers!$E$5:$E$22,A6)</f>
        <v>2</v>
      </c>
      <c r="E6" s="11" t="n">
        <f aca="false">COUNTIF('CRM Pipeline'!$C$5:$C$16,A6)</f>
        <v>1</v>
      </c>
    </row>
    <row r="7" customFormat="false" ht="15" hidden="false" customHeight="false" outlineLevel="0" collapsed="false">
      <c r="A7" s="10" t="s">
        <v>103</v>
      </c>
      <c r="B7" s="10" t="s">
        <v>232</v>
      </c>
      <c r="C7" s="10" t="s">
        <v>233</v>
      </c>
      <c r="D7" s="11" t="n">
        <f aca="false">COUNTIF(Customers!$E$5:$E$22,A7)</f>
        <v>5</v>
      </c>
      <c r="E7" s="11" t="n">
        <f aca="false">COUNTIF('CRM Pipeline'!$C$5:$C$16,A7)</f>
        <v>3</v>
      </c>
    </row>
    <row r="8" customFormat="false" ht="15" hidden="false" customHeight="false" outlineLevel="0" collapsed="false">
      <c r="A8" s="10" t="s">
        <v>116</v>
      </c>
      <c r="B8" s="10" t="s">
        <v>234</v>
      </c>
      <c r="C8" s="10" t="s">
        <v>235</v>
      </c>
      <c r="D8" s="11" t="n">
        <f aca="false">COUNTIF(Customers!$E$5:$E$22,A8)</f>
        <v>3</v>
      </c>
      <c r="E8" s="11" t="n">
        <f aca="false">COUNTIF('CRM Pipeline'!$C$5:$C$16,A8)</f>
        <v>2</v>
      </c>
    </row>
    <row r="9" customFormat="false" ht="15" hidden="false" customHeight="false" outlineLevel="0" collapsed="false">
      <c r="A9" s="10" t="s">
        <v>134</v>
      </c>
      <c r="B9" s="10" t="s">
        <v>236</v>
      </c>
      <c r="C9" s="10" t="s">
        <v>237</v>
      </c>
      <c r="D9" s="11" t="n">
        <f aca="false">COUNTIF(Customers!$E$5:$E$22,A9)</f>
        <v>3</v>
      </c>
      <c r="E9" s="11" t="n">
        <f aca="false">COUNTIF('CRM Pipeline'!$C$5:$C$16,A9)</f>
        <v>4</v>
      </c>
    </row>
    <row r="10" customFormat="false" ht="15" hidden="false" customHeight="false" outlineLevel="0" collapsed="false">
      <c r="A10" s="10" t="s">
        <v>147</v>
      </c>
      <c r="B10" s="10" t="s">
        <v>238</v>
      </c>
      <c r="C10" s="10" t="s">
        <v>239</v>
      </c>
      <c r="D10" s="11" t="n">
        <f aca="false">COUNTIF(Customers!$E$5:$E$22,A10)</f>
        <v>1</v>
      </c>
      <c r="E10" s="11" t="n">
        <f aca="false">COUNTIF('CRM Pipeline'!$C$5:$C$16,A10)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8" t="s">
        <v>240</v>
      </c>
    </row>
    <row r="2" customFormat="false" ht="15" hidden="false" customHeight="false" outlineLevel="0" collapsed="false">
      <c r="A2" s="2" t="s">
        <v>241</v>
      </c>
    </row>
    <row r="4" customFormat="false" ht="15" hidden="false" customHeight="false" outlineLevel="0" collapsed="false">
      <c r="A4" s="9" t="s">
        <v>242</v>
      </c>
      <c r="B4" s="9" t="s">
        <v>243</v>
      </c>
      <c r="C4" s="9" t="s">
        <v>66</v>
      </c>
      <c r="D4" s="9" t="s">
        <v>244</v>
      </c>
      <c r="E4" s="9" t="s">
        <v>245</v>
      </c>
      <c r="F4" s="9" t="s">
        <v>246</v>
      </c>
      <c r="G4" s="9" t="s">
        <v>247</v>
      </c>
    </row>
    <row r="5" customFormat="false" ht="15" hidden="false" customHeight="false" outlineLevel="0" collapsed="false">
      <c r="A5" s="10" t="s">
        <v>248</v>
      </c>
      <c r="B5" s="10" t="s">
        <v>249</v>
      </c>
      <c r="C5" s="10" t="s">
        <v>134</v>
      </c>
      <c r="D5" s="10" t="s">
        <v>250</v>
      </c>
      <c r="E5" s="12" t="n">
        <v>4200000</v>
      </c>
      <c r="F5" s="16" t="n">
        <v>0.3</v>
      </c>
      <c r="G5" s="12" t="n">
        <f aca="false">E5*F5</f>
        <v>1260000</v>
      </c>
    </row>
    <row r="6" customFormat="false" ht="15" hidden="false" customHeight="false" outlineLevel="0" collapsed="false">
      <c r="A6" s="10" t="s">
        <v>251</v>
      </c>
      <c r="B6" s="10" t="s">
        <v>131</v>
      </c>
      <c r="C6" s="10" t="s">
        <v>134</v>
      </c>
      <c r="D6" s="10" t="s">
        <v>252</v>
      </c>
      <c r="E6" s="12" t="n">
        <v>2600000</v>
      </c>
      <c r="F6" s="16" t="n">
        <v>0.6</v>
      </c>
      <c r="G6" s="12" t="n">
        <f aca="false">E6*F6</f>
        <v>1560000</v>
      </c>
    </row>
    <row r="7" customFormat="false" ht="15" hidden="false" customHeight="false" outlineLevel="0" collapsed="false">
      <c r="A7" s="10" t="s">
        <v>253</v>
      </c>
      <c r="B7" s="10" t="s">
        <v>139</v>
      </c>
      <c r="C7" s="10" t="s">
        <v>134</v>
      </c>
      <c r="D7" s="10" t="s">
        <v>250</v>
      </c>
      <c r="E7" s="12" t="n">
        <v>5500000</v>
      </c>
      <c r="F7" s="16" t="n">
        <v>0.4</v>
      </c>
      <c r="G7" s="12" t="n">
        <f aca="false">E7*F7</f>
        <v>2200000</v>
      </c>
    </row>
    <row r="8" customFormat="false" ht="15" hidden="false" customHeight="false" outlineLevel="0" collapsed="false">
      <c r="A8" s="10" t="s">
        <v>254</v>
      </c>
      <c r="B8" s="10" t="s">
        <v>95</v>
      </c>
      <c r="C8" s="10" t="s">
        <v>97</v>
      </c>
      <c r="D8" s="10" t="s">
        <v>252</v>
      </c>
      <c r="E8" s="12" t="n">
        <v>1800000</v>
      </c>
      <c r="F8" s="16" t="n">
        <v>0.7</v>
      </c>
      <c r="G8" s="12" t="n">
        <f aca="false">E8*F8</f>
        <v>1260000</v>
      </c>
    </row>
    <row r="9" customFormat="false" ht="15" hidden="false" customHeight="false" outlineLevel="0" collapsed="false">
      <c r="A9" s="10" t="s">
        <v>255</v>
      </c>
      <c r="B9" s="10" t="s">
        <v>77</v>
      </c>
      <c r="C9" s="10" t="s">
        <v>80</v>
      </c>
      <c r="D9" s="10" t="s">
        <v>250</v>
      </c>
      <c r="E9" s="12" t="n">
        <v>950000</v>
      </c>
      <c r="F9" s="16" t="n">
        <v>0.5</v>
      </c>
      <c r="G9" s="12" t="n">
        <f aca="false">E9*F9</f>
        <v>475000</v>
      </c>
    </row>
    <row r="10" customFormat="false" ht="15" hidden="false" customHeight="false" outlineLevel="0" collapsed="false">
      <c r="A10" s="10" t="s">
        <v>256</v>
      </c>
      <c r="B10" s="10" t="s">
        <v>101</v>
      </c>
      <c r="C10" s="10" t="s">
        <v>103</v>
      </c>
      <c r="D10" s="10" t="s">
        <v>252</v>
      </c>
      <c r="E10" s="12" t="n">
        <v>780000</v>
      </c>
      <c r="F10" s="16" t="n">
        <v>0.6</v>
      </c>
      <c r="G10" s="12" t="n">
        <f aca="false">E10*F10</f>
        <v>468000</v>
      </c>
    </row>
    <row r="11" customFormat="false" ht="15" hidden="false" customHeight="false" outlineLevel="0" collapsed="false">
      <c r="A11" s="10" t="s">
        <v>257</v>
      </c>
      <c r="B11" s="10" t="s">
        <v>258</v>
      </c>
      <c r="C11" s="10" t="s">
        <v>116</v>
      </c>
      <c r="D11" s="10" t="s">
        <v>259</v>
      </c>
      <c r="E11" s="12" t="n">
        <v>600000</v>
      </c>
      <c r="F11" s="16" t="n">
        <v>0.1</v>
      </c>
      <c r="G11" s="12" t="n">
        <f aca="false">E11*F11</f>
        <v>60000</v>
      </c>
    </row>
    <row r="12" customFormat="false" ht="15" hidden="false" customHeight="false" outlineLevel="0" collapsed="false">
      <c r="A12" s="10" t="s">
        <v>260</v>
      </c>
      <c r="B12" s="10" t="s">
        <v>122</v>
      </c>
      <c r="C12" s="10" t="s">
        <v>116</v>
      </c>
      <c r="D12" s="10" t="s">
        <v>250</v>
      </c>
      <c r="E12" s="12" t="n">
        <v>1000000</v>
      </c>
      <c r="F12" s="16" t="n">
        <v>0.5</v>
      </c>
      <c r="G12" s="12" t="n">
        <f aca="false">E12*F12</f>
        <v>500000</v>
      </c>
    </row>
    <row r="13" customFormat="false" ht="15" hidden="false" customHeight="false" outlineLevel="0" collapsed="false">
      <c r="A13" s="10" t="s">
        <v>261</v>
      </c>
      <c r="B13" s="10" t="s">
        <v>108</v>
      </c>
      <c r="C13" s="10" t="s">
        <v>103</v>
      </c>
      <c r="D13" s="10" t="s">
        <v>259</v>
      </c>
      <c r="E13" s="12" t="n">
        <v>320000</v>
      </c>
      <c r="F13" s="16" t="n">
        <v>0.3</v>
      </c>
      <c r="G13" s="12" t="n">
        <f aca="false">E13*F13</f>
        <v>96000</v>
      </c>
    </row>
    <row r="14" customFormat="false" ht="15" hidden="false" customHeight="false" outlineLevel="0" collapsed="false">
      <c r="A14" s="10" t="s">
        <v>262</v>
      </c>
      <c r="B14" s="10" t="s">
        <v>143</v>
      </c>
      <c r="C14" s="10" t="s">
        <v>134</v>
      </c>
      <c r="D14" s="10" t="s">
        <v>250</v>
      </c>
      <c r="E14" s="12" t="n">
        <v>1250000</v>
      </c>
      <c r="F14" s="16" t="n">
        <v>0.25</v>
      </c>
      <c r="G14" s="12" t="n">
        <f aca="false">E14*F14</f>
        <v>312500</v>
      </c>
    </row>
    <row r="15" customFormat="false" ht="15" hidden="false" customHeight="false" outlineLevel="0" collapsed="false">
      <c r="A15" s="10" t="s">
        <v>263</v>
      </c>
      <c r="B15" s="10" t="s">
        <v>105</v>
      </c>
      <c r="C15" s="10" t="s">
        <v>103</v>
      </c>
      <c r="D15" s="10" t="s">
        <v>259</v>
      </c>
      <c r="E15" s="12" t="n">
        <v>410000</v>
      </c>
      <c r="F15" s="16" t="n">
        <v>0.4</v>
      </c>
      <c r="G15" s="12" t="n">
        <f aca="false">E15*F15</f>
        <v>164000</v>
      </c>
    </row>
    <row r="16" customFormat="false" ht="15" hidden="false" customHeight="false" outlineLevel="0" collapsed="false">
      <c r="A16" s="10" t="s">
        <v>264</v>
      </c>
      <c r="B16" s="10" t="s">
        <v>265</v>
      </c>
      <c r="C16" s="10" t="s">
        <v>80</v>
      </c>
      <c r="D16" s="10" t="s">
        <v>259</v>
      </c>
      <c r="E16" s="12" t="n">
        <v>290000</v>
      </c>
      <c r="F16" s="16" t="n">
        <v>0.2</v>
      </c>
      <c r="G16" s="12" t="n">
        <f aca="false">E16*F16</f>
        <v>58000</v>
      </c>
    </row>
    <row r="17" customFormat="false" ht="15" hidden="false" customHeight="false" outlineLevel="0" collapsed="false">
      <c r="A17" s="13" t="s">
        <v>152</v>
      </c>
      <c r="B17" s="14"/>
      <c r="C17" s="14"/>
      <c r="D17" s="14"/>
      <c r="E17" s="15" t="n">
        <f aca="false">SUM(E5:E16)</f>
        <v>19700000</v>
      </c>
      <c r="F17" s="14"/>
      <c r="G17" s="15" t="n">
        <f aca="false">SUM(G5:G16)</f>
        <v>8413500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31"/>
    <col collapsed="false" customWidth="true" hidden="false" outlineLevel="0" max="5" min="5" style="0" width="60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8" t="s">
        <v>266</v>
      </c>
    </row>
    <row r="2" customFormat="false" ht="15" hidden="false" customHeight="false" outlineLevel="0" collapsed="false">
      <c r="A2" s="2" t="s">
        <v>267</v>
      </c>
    </row>
    <row r="4" customFormat="false" ht="15" hidden="false" customHeight="false" outlineLevel="0" collapsed="false">
      <c r="A4" s="9" t="s">
        <v>268</v>
      </c>
      <c r="B4" s="9" t="s">
        <v>269</v>
      </c>
      <c r="C4" s="9" t="s">
        <v>270</v>
      </c>
      <c r="D4" s="9" t="s">
        <v>271</v>
      </c>
      <c r="E4" s="9" t="s">
        <v>272</v>
      </c>
      <c r="F4" s="9" t="s">
        <v>273</v>
      </c>
    </row>
    <row r="5" customFormat="false" ht="15" hidden="false" customHeight="false" outlineLevel="0" collapsed="false">
      <c r="A5" s="10" t="s">
        <v>274</v>
      </c>
      <c r="B5" s="10" t="s">
        <v>275</v>
      </c>
      <c r="C5" s="10" t="s">
        <v>276</v>
      </c>
      <c r="D5" s="10" t="s">
        <v>277</v>
      </c>
      <c r="E5" s="10" t="s">
        <v>278</v>
      </c>
      <c r="F5" s="10" t="s">
        <v>279</v>
      </c>
    </row>
    <row r="6" customFormat="false" ht="23.85" hidden="false" customHeight="false" outlineLevel="0" collapsed="false">
      <c r="A6" s="10" t="s">
        <v>280</v>
      </c>
      <c r="B6" s="10" t="s">
        <v>281</v>
      </c>
      <c r="C6" s="10" t="s">
        <v>282</v>
      </c>
      <c r="D6" s="10" t="s">
        <v>283</v>
      </c>
      <c r="E6" s="17" t="s">
        <v>284</v>
      </c>
      <c r="F6" s="10" t="s">
        <v>285</v>
      </c>
    </row>
    <row r="7" customFormat="false" ht="15" hidden="false" customHeight="false" outlineLevel="0" collapsed="false">
      <c r="A7" s="10" t="s">
        <v>286</v>
      </c>
      <c r="B7" s="10" t="s">
        <v>287</v>
      </c>
      <c r="C7" s="10" t="s">
        <v>288</v>
      </c>
      <c r="D7" s="10" t="s">
        <v>289</v>
      </c>
      <c r="E7" s="10" t="s">
        <v>290</v>
      </c>
      <c r="F7" s="10" t="s">
        <v>291</v>
      </c>
    </row>
    <row r="8" customFormat="false" ht="15" hidden="false" customHeight="false" outlineLevel="0" collapsed="false">
      <c r="A8" s="10" t="s">
        <v>292</v>
      </c>
      <c r="B8" s="10" t="s">
        <v>293</v>
      </c>
      <c r="C8" s="10" t="s">
        <v>294</v>
      </c>
      <c r="D8" s="10" t="s">
        <v>295</v>
      </c>
      <c r="E8" s="10" t="s">
        <v>296</v>
      </c>
      <c r="F8" s="10" t="s">
        <v>297</v>
      </c>
    </row>
    <row r="9" customFormat="false" ht="15" hidden="false" customHeight="false" outlineLevel="0" collapsed="false">
      <c r="A9" s="10" t="s">
        <v>298</v>
      </c>
      <c r="B9" s="10" t="s">
        <v>299</v>
      </c>
      <c r="C9" s="10" t="s">
        <v>300</v>
      </c>
      <c r="D9" s="10" t="s">
        <v>295</v>
      </c>
      <c r="E9" s="10" t="s">
        <v>301</v>
      </c>
      <c r="F9" s="10" t="s">
        <v>279</v>
      </c>
    </row>
    <row r="10" customFormat="false" ht="15" hidden="false" customHeight="false" outlineLevel="0" collapsed="false">
      <c r="A10" s="10" t="s">
        <v>302</v>
      </c>
      <c r="B10" s="10" t="s">
        <v>303</v>
      </c>
      <c r="C10" s="10" t="s">
        <v>304</v>
      </c>
      <c r="D10" s="10" t="s">
        <v>289</v>
      </c>
      <c r="E10" s="10" t="s">
        <v>305</v>
      </c>
      <c r="F10" s="10" t="s">
        <v>285</v>
      </c>
    </row>
    <row r="11" customFormat="false" ht="15" hidden="false" customHeight="false" outlineLevel="0" collapsed="false">
      <c r="A11" s="10" t="s">
        <v>306</v>
      </c>
      <c r="B11" s="10" t="s">
        <v>307</v>
      </c>
      <c r="C11" s="10" t="s">
        <v>300</v>
      </c>
      <c r="D11" s="10" t="s">
        <v>308</v>
      </c>
      <c r="E11" s="10" t="s">
        <v>309</v>
      </c>
      <c r="F11" s="10" t="s">
        <v>279</v>
      </c>
    </row>
    <row r="12" customFormat="false" ht="15" hidden="false" customHeight="false" outlineLevel="0" collapsed="false">
      <c r="A12" s="10" t="s">
        <v>310</v>
      </c>
      <c r="B12" s="10" t="s">
        <v>311</v>
      </c>
      <c r="C12" s="10" t="s">
        <v>312</v>
      </c>
      <c r="D12" s="10" t="s">
        <v>313</v>
      </c>
      <c r="E12" s="10" t="s">
        <v>314</v>
      </c>
      <c r="F12" s="10" t="s">
        <v>285</v>
      </c>
    </row>
    <row r="13" customFormat="false" ht="15" hidden="false" customHeight="false" outlineLevel="0" collapsed="false">
      <c r="A13" s="10" t="s">
        <v>315</v>
      </c>
      <c r="B13" s="10" t="s">
        <v>316</v>
      </c>
      <c r="C13" s="10" t="s">
        <v>300</v>
      </c>
      <c r="D13" s="10" t="s">
        <v>289</v>
      </c>
      <c r="E13" s="10" t="s">
        <v>317</v>
      </c>
      <c r="F13" s="10" t="s">
        <v>285</v>
      </c>
    </row>
    <row r="14" customFormat="false" ht="15" hidden="false" customHeight="false" outlineLevel="0" collapsed="false">
      <c r="A14" s="10" t="s">
        <v>318</v>
      </c>
      <c r="B14" s="10" t="s">
        <v>319</v>
      </c>
      <c r="C14" s="10" t="s">
        <v>300</v>
      </c>
      <c r="D14" s="10" t="s">
        <v>320</v>
      </c>
      <c r="E14" s="17" t="s">
        <v>321</v>
      </c>
      <c r="F14" s="10" t="s">
        <v>285</v>
      </c>
    </row>
    <row r="15" customFormat="false" ht="15" hidden="false" customHeight="false" outlineLevel="0" collapsed="false">
      <c r="A15" s="10" t="s">
        <v>322</v>
      </c>
      <c r="B15" s="10" t="s">
        <v>323</v>
      </c>
      <c r="C15" s="10" t="s">
        <v>300</v>
      </c>
      <c r="D15" s="10" t="s">
        <v>324</v>
      </c>
      <c r="E15" s="10" t="s">
        <v>325</v>
      </c>
      <c r="F15" s="10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34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8" t="s">
        <v>326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A4" s="9" t="s">
        <v>328</v>
      </c>
      <c r="B4" s="9" t="s">
        <v>329</v>
      </c>
      <c r="C4" s="9" t="s">
        <v>330</v>
      </c>
      <c r="D4" s="9" t="s">
        <v>331</v>
      </c>
      <c r="E4" s="9" t="s">
        <v>332</v>
      </c>
      <c r="F4" s="9" t="s">
        <v>333</v>
      </c>
      <c r="G4" s="9" t="s">
        <v>334</v>
      </c>
      <c r="H4" s="9" t="s">
        <v>335</v>
      </c>
    </row>
    <row r="5" customFormat="false" ht="15" hidden="false" customHeight="false" outlineLevel="0" collapsed="false">
      <c r="A5" s="10" t="n">
        <v>1</v>
      </c>
      <c r="B5" s="10" t="s">
        <v>336</v>
      </c>
      <c r="C5" s="10" t="s">
        <v>337</v>
      </c>
      <c r="D5" s="10" t="s">
        <v>338</v>
      </c>
      <c r="E5" s="10" t="s">
        <v>19</v>
      </c>
      <c r="F5" s="10" t="s">
        <v>339</v>
      </c>
      <c r="G5" s="10" t="s">
        <v>340</v>
      </c>
      <c r="H5" s="10" t="s">
        <v>340</v>
      </c>
    </row>
    <row r="6" customFormat="false" ht="15" hidden="false" customHeight="false" outlineLevel="0" collapsed="false">
      <c r="A6" s="10" t="n">
        <v>2</v>
      </c>
      <c r="B6" s="10" t="s">
        <v>341</v>
      </c>
      <c r="C6" s="10" t="s">
        <v>337</v>
      </c>
      <c r="D6" s="10" t="s">
        <v>338</v>
      </c>
      <c r="E6" s="10" t="s">
        <v>337</v>
      </c>
      <c r="F6" s="10" t="s">
        <v>342</v>
      </c>
      <c r="G6" s="10" t="s">
        <v>343</v>
      </c>
      <c r="H6" s="10" t="s">
        <v>340</v>
      </c>
    </row>
    <row r="7" customFormat="false" ht="15" hidden="false" customHeight="false" outlineLevel="0" collapsed="false">
      <c r="A7" s="10" t="n">
        <v>3</v>
      </c>
      <c r="B7" s="10" t="s">
        <v>344</v>
      </c>
      <c r="C7" s="10" t="s">
        <v>337</v>
      </c>
      <c r="D7" s="10" t="s">
        <v>338</v>
      </c>
      <c r="E7" s="10" t="s">
        <v>337</v>
      </c>
      <c r="F7" s="10" t="s">
        <v>345</v>
      </c>
      <c r="G7" s="10" t="s">
        <v>346</v>
      </c>
      <c r="H7" s="10" t="s">
        <v>340</v>
      </c>
    </row>
    <row r="8" customFormat="false" ht="15" hidden="false" customHeight="false" outlineLevel="0" collapsed="false">
      <c r="A8" s="10" t="n">
        <v>4</v>
      </c>
      <c r="B8" s="10" t="s">
        <v>347</v>
      </c>
      <c r="C8" s="10" t="s">
        <v>348</v>
      </c>
      <c r="D8" s="10" t="s">
        <v>349</v>
      </c>
      <c r="E8" s="10" t="s">
        <v>350</v>
      </c>
      <c r="F8" s="10" t="s">
        <v>351</v>
      </c>
      <c r="G8" s="10" t="s">
        <v>352</v>
      </c>
      <c r="H8" s="10" t="s">
        <v>340</v>
      </c>
    </row>
    <row r="9" customFormat="false" ht="15" hidden="false" customHeight="false" outlineLevel="0" collapsed="false">
      <c r="A9" s="10" t="n">
        <v>5</v>
      </c>
      <c r="B9" s="10" t="s">
        <v>353</v>
      </c>
      <c r="C9" s="10" t="s">
        <v>348</v>
      </c>
      <c r="D9" s="10" t="s">
        <v>354</v>
      </c>
      <c r="E9" s="10" t="s">
        <v>350</v>
      </c>
      <c r="F9" s="10" t="s">
        <v>355</v>
      </c>
      <c r="G9" s="10" t="s">
        <v>356</v>
      </c>
      <c r="H9" s="10" t="s">
        <v>357</v>
      </c>
    </row>
    <row r="10" customFormat="false" ht="23.85" hidden="false" customHeight="false" outlineLevel="0" collapsed="false">
      <c r="A10" s="10" t="n">
        <v>6</v>
      </c>
      <c r="B10" s="10" t="s">
        <v>358</v>
      </c>
      <c r="C10" s="10" t="s">
        <v>359</v>
      </c>
      <c r="D10" s="10" t="s">
        <v>360</v>
      </c>
      <c r="E10" s="10" t="s">
        <v>361</v>
      </c>
      <c r="F10" s="10" t="s">
        <v>362</v>
      </c>
      <c r="G10" s="10" t="s">
        <v>340</v>
      </c>
      <c r="H10" s="17" t="s">
        <v>363</v>
      </c>
    </row>
    <row r="11" customFormat="false" ht="15" hidden="false" customHeight="false" outlineLevel="0" collapsed="false">
      <c r="A11" s="10" t="n">
        <v>7</v>
      </c>
      <c r="B11" s="10" t="s">
        <v>364</v>
      </c>
      <c r="C11" s="10" t="s">
        <v>359</v>
      </c>
      <c r="D11" s="10" t="s">
        <v>365</v>
      </c>
      <c r="E11" s="10" t="s">
        <v>361</v>
      </c>
      <c r="F11" s="10" t="s">
        <v>366</v>
      </c>
      <c r="G11" s="10" t="s">
        <v>340</v>
      </c>
      <c r="H11" s="10" t="s">
        <v>367</v>
      </c>
    </row>
    <row r="12" customFormat="false" ht="15" hidden="false" customHeight="false" outlineLevel="0" collapsed="false">
      <c r="A12" s="10" t="n">
        <v>8</v>
      </c>
      <c r="B12" s="10" t="s">
        <v>368</v>
      </c>
      <c r="C12" s="10" t="s">
        <v>359</v>
      </c>
      <c r="D12" s="10" t="s">
        <v>360</v>
      </c>
      <c r="E12" s="10" t="s">
        <v>361</v>
      </c>
      <c r="F12" s="10" t="s">
        <v>369</v>
      </c>
      <c r="G12" s="10" t="s">
        <v>340</v>
      </c>
      <c r="H12" s="10" t="s">
        <v>370</v>
      </c>
    </row>
    <row r="13" customFormat="false" ht="15" hidden="false" customHeight="false" outlineLevel="0" collapsed="false">
      <c r="A13" s="10" t="n">
        <v>9</v>
      </c>
      <c r="B13" s="10" t="s">
        <v>371</v>
      </c>
      <c r="C13" s="10" t="s">
        <v>359</v>
      </c>
      <c r="D13" s="10" t="s">
        <v>360</v>
      </c>
      <c r="E13" s="10" t="s">
        <v>361</v>
      </c>
      <c r="F13" s="10" t="s">
        <v>372</v>
      </c>
      <c r="G13" s="10" t="s">
        <v>373</v>
      </c>
      <c r="H13" s="10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34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8" t="s">
        <v>374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A4" s="9" t="s">
        <v>328</v>
      </c>
      <c r="B4" s="9" t="s">
        <v>329</v>
      </c>
      <c r="C4" s="9" t="s">
        <v>330</v>
      </c>
      <c r="D4" s="9" t="s">
        <v>331</v>
      </c>
      <c r="E4" s="9" t="s">
        <v>332</v>
      </c>
      <c r="F4" s="9" t="s">
        <v>333</v>
      </c>
      <c r="G4" s="9" t="s">
        <v>334</v>
      </c>
      <c r="H4" s="9" t="s">
        <v>335</v>
      </c>
    </row>
    <row r="5" customFormat="false" ht="15" hidden="false" customHeight="false" outlineLevel="0" collapsed="false">
      <c r="A5" s="10" t="n">
        <v>1</v>
      </c>
      <c r="B5" s="10" t="s">
        <v>375</v>
      </c>
      <c r="C5" s="10" t="s">
        <v>376</v>
      </c>
      <c r="D5" s="10" t="s">
        <v>377</v>
      </c>
      <c r="E5" s="10" t="s">
        <v>350</v>
      </c>
      <c r="F5" s="10" t="s">
        <v>378</v>
      </c>
      <c r="G5" s="10" t="s">
        <v>379</v>
      </c>
      <c r="H5" s="10" t="s">
        <v>340</v>
      </c>
    </row>
    <row r="6" customFormat="false" ht="15" hidden="false" customHeight="false" outlineLevel="0" collapsed="false">
      <c r="A6" s="10" t="n">
        <v>2</v>
      </c>
      <c r="B6" s="10" t="s">
        <v>380</v>
      </c>
      <c r="C6" s="10" t="s">
        <v>376</v>
      </c>
      <c r="D6" s="10" t="s">
        <v>381</v>
      </c>
      <c r="E6" s="10" t="s">
        <v>382</v>
      </c>
      <c r="F6" s="10" t="s">
        <v>383</v>
      </c>
      <c r="G6" s="10" t="s">
        <v>340</v>
      </c>
      <c r="H6" s="10" t="s">
        <v>340</v>
      </c>
    </row>
    <row r="7" customFormat="false" ht="15" hidden="false" customHeight="false" outlineLevel="0" collapsed="false">
      <c r="A7" s="10" t="n">
        <v>3</v>
      </c>
      <c r="B7" s="10" t="s">
        <v>384</v>
      </c>
      <c r="C7" s="10" t="s">
        <v>376</v>
      </c>
      <c r="D7" s="10" t="s">
        <v>385</v>
      </c>
      <c r="E7" s="10" t="s">
        <v>382</v>
      </c>
      <c r="F7" s="10" t="s">
        <v>386</v>
      </c>
      <c r="G7" s="10" t="s">
        <v>387</v>
      </c>
      <c r="H7" s="10" t="s">
        <v>340</v>
      </c>
    </row>
    <row r="8" customFormat="false" ht="15" hidden="false" customHeight="false" outlineLevel="0" collapsed="false">
      <c r="A8" s="10" t="n">
        <v>4</v>
      </c>
      <c r="B8" s="10" t="s">
        <v>388</v>
      </c>
      <c r="C8" s="10" t="s">
        <v>348</v>
      </c>
      <c r="D8" s="10" t="s">
        <v>349</v>
      </c>
      <c r="E8" s="10" t="s">
        <v>350</v>
      </c>
      <c r="F8" s="10" t="s">
        <v>389</v>
      </c>
      <c r="G8" s="10" t="s">
        <v>390</v>
      </c>
      <c r="H8" s="10" t="s">
        <v>391</v>
      </c>
    </row>
    <row r="9" customFormat="false" ht="15" hidden="false" customHeight="false" outlineLevel="0" collapsed="false">
      <c r="A9" s="10" t="n">
        <v>5</v>
      </c>
      <c r="B9" s="10" t="s">
        <v>392</v>
      </c>
      <c r="C9" s="10" t="s">
        <v>359</v>
      </c>
      <c r="D9" s="10" t="s">
        <v>360</v>
      </c>
      <c r="E9" s="10" t="s">
        <v>361</v>
      </c>
      <c r="F9" s="10" t="s">
        <v>393</v>
      </c>
      <c r="G9" s="10" t="s">
        <v>394</v>
      </c>
      <c r="H9" s="10" t="s">
        <v>395</v>
      </c>
    </row>
    <row r="10" customFormat="false" ht="23.85" hidden="false" customHeight="false" outlineLevel="0" collapsed="false">
      <c r="A10" s="10" t="n">
        <v>6</v>
      </c>
      <c r="B10" s="10" t="s">
        <v>48</v>
      </c>
      <c r="C10" s="10" t="s">
        <v>376</v>
      </c>
      <c r="D10" s="10" t="s">
        <v>396</v>
      </c>
      <c r="E10" s="10" t="s">
        <v>350</v>
      </c>
      <c r="F10" s="17" t="s">
        <v>397</v>
      </c>
      <c r="G10" s="10" t="s">
        <v>340</v>
      </c>
      <c r="H10" s="17" t="s">
        <v>398</v>
      </c>
    </row>
    <row r="11" customFormat="false" ht="15" hidden="false" customHeight="false" outlineLevel="0" collapsed="false">
      <c r="A11" s="10" t="n">
        <v>7</v>
      </c>
      <c r="B11" s="10" t="s">
        <v>399</v>
      </c>
      <c r="C11" s="10" t="s">
        <v>359</v>
      </c>
      <c r="D11" s="10" t="s">
        <v>365</v>
      </c>
      <c r="E11" s="10" t="s">
        <v>361</v>
      </c>
      <c r="F11" s="10" t="s">
        <v>400</v>
      </c>
      <c r="G11" s="10" t="s">
        <v>401</v>
      </c>
      <c r="H11" s="10" t="s">
        <v>402</v>
      </c>
    </row>
    <row r="12" customFormat="false" ht="15" hidden="false" customHeight="false" outlineLevel="0" collapsed="false">
      <c r="A12" s="10" t="n">
        <v>8</v>
      </c>
      <c r="B12" s="10" t="s">
        <v>368</v>
      </c>
      <c r="C12" s="10" t="s">
        <v>359</v>
      </c>
      <c r="D12" s="10" t="s">
        <v>360</v>
      </c>
      <c r="E12" s="10" t="s">
        <v>361</v>
      </c>
      <c r="F12" s="10" t="s">
        <v>369</v>
      </c>
      <c r="G12" s="10" t="s">
        <v>340</v>
      </c>
      <c r="H12" s="10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34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8" t="s">
        <v>404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A4" s="9" t="s">
        <v>328</v>
      </c>
      <c r="B4" s="9" t="s">
        <v>329</v>
      </c>
      <c r="C4" s="9" t="s">
        <v>330</v>
      </c>
      <c r="D4" s="9" t="s">
        <v>331</v>
      </c>
      <c r="E4" s="9" t="s">
        <v>332</v>
      </c>
      <c r="F4" s="9" t="s">
        <v>333</v>
      </c>
      <c r="G4" s="9" t="s">
        <v>334</v>
      </c>
      <c r="H4" s="9" t="s">
        <v>335</v>
      </c>
    </row>
    <row r="5" customFormat="false" ht="15" hidden="false" customHeight="false" outlineLevel="0" collapsed="false">
      <c r="A5" s="10" t="n">
        <v>1</v>
      </c>
      <c r="B5" s="10" t="s">
        <v>405</v>
      </c>
      <c r="C5" s="10" t="s">
        <v>406</v>
      </c>
      <c r="D5" s="10" t="s">
        <v>313</v>
      </c>
      <c r="E5" s="10" t="s">
        <v>31</v>
      </c>
      <c r="F5" s="10" t="s">
        <v>407</v>
      </c>
      <c r="G5" s="10" t="s">
        <v>340</v>
      </c>
      <c r="H5" s="10" t="s">
        <v>340</v>
      </c>
    </row>
    <row r="6" customFormat="false" ht="15" hidden="false" customHeight="false" outlineLevel="0" collapsed="false">
      <c r="A6" s="10" t="n">
        <v>2</v>
      </c>
      <c r="B6" s="10" t="s">
        <v>408</v>
      </c>
      <c r="C6" s="10" t="s">
        <v>406</v>
      </c>
      <c r="D6" s="10" t="s">
        <v>409</v>
      </c>
      <c r="E6" s="10" t="s">
        <v>31</v>
      </c>
      <c r="F6" s="10" t="s">
        <v>410</v>
      </c>
      <c r="G6" s="10" t="s">
        <v>340</v>
      </c>
      <c r="H6" s="10" t="s">
        <v>340</v>
      </c>
    </row>
    <row r="7" customFormat="false" ht="15" hidden="false" customHeight="false" outlineLevel="0" collapsed="false">
      <c r="A7" s="10" t="n">
        <v>3</v>
      </c>
      <c r="B7" s="10" t="s">
        <v>411</v>
      </c>
      <c r="C7" s="10" t="s">
        <v>406</v>
      </c>
      <c r="D7" s="10" t="s">
        <v>412</v>
      </c>
      <c r="E7" s="10" t="s">
        <v>31</v>
      </c>
      <c r="F7" s="10" t="s">
        <v>413</v>
      </c>
      <c r="G7" s="10" t="s">
        <v>340</v>
      </c>
      <c r="H7" s="10" t="s">
        <v>414</v>
      </c>
    </row>
    <row r="8" customFormat="false" ht="15" hidden="false" customHeight="false" outlineLevel="0" collapsed="false">
      <c r="A8" s="10" t="n">
        <v>4</v>
      </c>
      <c r="B8" s="10" t="s">
        <v>415</v>
      </c>
      <c r="C8" s="10" t="s">
        <v>406</v>
      </c>
      <c r="D8" s="10" t="s">
        <v>416</v>
      </c>
      <c r="E8" s="10" t="s">
        <v>31</v>
      </c>
      <c r="F8" s="10" t="s">
        <v>417</v>
      </c>
      <c r="G8" s="10" t="s">
        <v>418</v>
      </c>
      <c r="H8" s="10" t="s">
        <v>419</v>
      </c>
    </row>
    <row r="9" customFormat="false" ht="15" hidden="false" customHeight="false" outlineLevel="0" collapsed="false">
      <c r="A9" s="10" t="n">
        <v>5</v>
      </c>
      <c r="B9" s="10" t="s">
        <v>420</v>
      </c>
      <c r="C9" s="10" t="s">
        <v>406</v>
      </c>
      <c r="D9" s="10" t="s">
        <v>409</v>
      </c>
      <c r="E9" s="10" t="s">
        <v>31</v>
      </c>
      <c r="F9" s="10" t="s">
        <v>421</v>
      </c>
      <c r="G9" s="10" t="s">
        <v>422</v>
      </c>
      <c r="H9" s="10" t="s">
        <v>423</v>
      </c>
    </row>
    <row r="10" customFormat="false" ht="15" hidden="false" customHeight="false" outlineLevel="0" collapsed="false">
      <c r="A10" s="10" t="n">
        <v>6</v>
      </c>
      <c r="B10" s="10" t="s">
        <v>310</v>
      </c>
      <c r="C10" s="10" t="s">
        <v>406</v>
      </c>
      <c r="D10" s="10" t="s">
        <v>409</v>
      </c>
      <c r="E10" s="10" t="s">
        <v>350</v>
      </c>
      <c r="F10" s="10" t="s">
        <v>424</v>
      </c>
      <c r="G10" s="10" t="s">
        <v>425</v>
      </c>
      <c r="H10" s="10" t="s">
        <v>426</v>
      </c>
    </row>
    <row r="11" customFormat="false" ht="15" hidden="false" customHeight="false" outlineLevel="0" collapsed="false">
      <c r="A11" s="10" t="n">
        <v>7</v>
      </c>
      <c r="B11" s="10" t="s">
        <v>427</v>
      </c>
      <c r="C11" s="10" t="s">
        <v>348</v>
      </c>
      <c r="D11" s="10" t="s">
        <v>349</v>
      </c>
      <c r="E11" s="10" t="s">
        <v>350</v>
      </c>
      <c r="F11" s="10" t="s">
        <v>428</v>
      </c>
      <c r="G11" s="10" t="s">
        <v>340</v>
      </c>
      <c r="H11" s="10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34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8" t="s">
        <v>429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A4" s="9" t="s">
        <v>328</v>
      </c>
      <c r="B4" s="9" t="s">
        <v>329</v>
      </c>
      <c r="C4" s="9" t="s">
        <v>330</v>
      </c>
      <c r="D4" s="9" t="s">
        <v>331</v>
      </c>
      <c r="E4" s="9" t="s">
        <v>332</v>
      </c>
      <c r="F4" s="9" t="s">
        <v>333</v>
      </c>
      <c r="G4" s="9" t="s">
        <v>334</v>
      </c>
      <c r="H4" s="9" t="s">
        <v>335</v>
      </c>
    </row>
    <row r="5" customFormat="false" ht="15" hidden="false" customHeight="false" outlineLevel="0" collapsed="false">
      <c r="A5" s="10" t="n">
        <v>1</v>
      </c>
      <c r="B5" s="10" t="s">
        <v>430</v>
      </c>
      <c r="C5" s="10" t="s">
        <v>348</v>
      </c>
      <c r="D5" s="10" t="s">
        <v>431</v>
      </c>
      <c r="E5" s="10" t="s">
        <v>350</v>
      </c>
      <c r="F5" s="10" t="s">
        <v>432</v>
      </c>
      <c r="G5" s="10" t="s">
        <v>433</v>
      </c>
      <c r="H5" s="10" t="s">
        <v>434</v>
      </c>
    </row>
    <row r="6" customFormat="false" ht="23.85" hidden="false" customHeight="false" outlineLevel="0" collapsed="false">
      <c r="A6" s="10" t="n">
        <v>2</v>
      </c>
      <c r="B6" s="10" t="s">
        <v>435</v>
      </c>
      <c r="C6" s="10" t="s">
        <v>348</v>
      </c>
      <c r="D6" s="10" t="s">
        <v>349</v>
      </c>
      <c r="E6" s="10" t="s">
        <v>350</v>
      </c>
      <c r="F6" s="17" t="s">
        <v>436</v>
      </c>
      <c r="G6" s="10" t="s">
        <v>340</v>
      </c>
      <c r="H6" s="10" t="s">
        <v>340</v>
      </c>
    </row>
    <row r="7" customFormat="false" ht="15" hidden="false" customHeight="false" outlineLevel="0" collapsed="false">
      <c r="A7" s="10" t="n">
        <v>3</v>
      </c>
      <c r="B7" s="10" t="s">
        <v>437</v>
      </c>
      <c r="C7" s="10" t="s">
        <v>348</v>
      </c>
      <c r="D7" s="10" t="s">
        <v>438</v>
      </c>
      <c r="E7" s="10" t="s">
        <v>350</v>
      </c>
      <c r="F7" s="10" t="s">
        <v>439</v>
      </c>
      <c r="G7" s="10" t="s">
        <v>340</v>
      </c>
      <c r="H7" s="10" t="s">
        <v>340</v>
      </c>
    </row>
    <row r="8" customFormat="false" ht="15" hidden="false" customHeight="false" outlineLevel="0" collapsed="false">
      <c r="A8" s="10" t="n">
        <v>4</v>
      </c>
      <c r="B8" s="10" t="s">
        <v>440</v>
      </c>
      <c r="C8" s="10" t="s">
        <v>348</v>
      </c>
      <c r="D8" s="10" t="s">
        <v>349</v>
      </c>
      <c r="E8" s="10" t="s">
        <v>350</v>
      </c>
      <c r="F8" s="10" t="s">
        <v>441</v>
      </c>
      <c r="G8" s="10" t="s">
        <v>442</v>
      </c>
      <c r="H8" s="10" t="s">
        <v>443</v>
      </c>
    </row>
    <row r="9" customFormat="false" ht="15" hidden="false" customHeight="false" outlineLevel="0" collapsed="false">
      <c r="A9" s="10" t="n">
        <v>5</v>
      </c>
      <c r="B9" s="10" t="s">
        <v>444</v>
      </c>
      <c r="C9" s="10" t="s">
        <v>348</v>
      </c>
      <c r="D9" s="10" t="s">
        <v>349</v>
      </c>
      <c r="E9" s="10" t="s">
        <v>350</v>
      </c>
      <c r="F9" s="10" t="s">
        <v>445</v>
      </c>
      <c r="G9" s="10" t="s">
        <v>446</v>
      </c>
      <c r="H9" s="10" t="s">
        <v>447</v>
      </c>
    </row>
    <row r="10" customFormat="false" ht="15" hidden="false" customHeight="false" outlineLevel="0" collapsed="false">
      <c r="A10" s="10" t="n">
        <v>6</v>
      </c>
      <c r="B10" s="10" t="s">
        <v>448</v>
      </c>
      <c r="C10" s="10" t="s">
        <v>348</v>
      </c>
      <c r="D10" s="10" t="s">
        <v>438</v>
      </c>
      <c r="E10" s="10" t="s">
        <v>350</v>
      </c>
      <c r="F10" s="10" t="s">
        <v>449</v>
      </c>
      <c r="G10" s="10" t="s">
        <v>450</v>
      </c>
      <c r="H10" s="10" t="s">
        <v>451</v>
      </c>
    </row>
    <row r="11" customFormat="false" ht="15" hidden="false" customHeight="false" outlineLevel="0" collapsed="false">
      <c r="A11" s="10" t="n">
        <v>7</v>
      </c>
      <c r="B11" s="10" t="s">
        <v>310</v>
      </c>
      <c r="C11" s="10" t="s">
        <v>348</v>
      </c>
      <c r="D11" s="10" t="s">
        <v>349</v>
      </c>
      <c r="E11" s="10" t="s">
        <v>350</v>
      </c>
      <c r="F11" s="10" t="s">
        <v>424</v>
      </c>
      <c r="G11" s="10" t="s">
        <v>452</v>
      </c>
      <c r="H11" s="10" t="s">
        <v>453</v>
      </c>
    </row>
    <row r="12" customFormat="false" ht="15" hidden="false" customHeight="false" outlineLevel="0" collapsed="false">
      <c r="A12" s="10" t="n">
        <v>8</v>
      </c>
      <c r="B12" s="10" t="s">
        <v>454</v>
      </c>
      <c r="C12" s="10" t="s">
        <v>348</v>
      </c>
      <c r="D12" s="10" t="s">
        <v>438</v>
      </c>
      <c r="E12" s="10" t="s">
        <v>350</v>
      </c>
      <c r="F12" s="10" t="s">
        <v>455</v>
      </c>
      <c r="G12" s="10" t="s">
        <v>340</v>
      </c>
      <c r="H12" s="10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34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8" t="s">
        <v>456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A4" s="9" t="s">
        <v>328</v>
      </c>
      <c r="B4" s="9" t="s">
        <v>329</v>
      </c>
      <c r="C4" s="9" t="s">
        <v>330</v>
      </c>
      <c r="D4" s="9" t="s">
        <v>331</v>
      </c>
      <c r="E4" s="9" t="s">
        <v>332</v>
      </c>
      <c r="F4" s="9" t="s">
        <v>333</v>
      </c>
      <c r="G4" s="9" t="s">
        <v>334</v>
      </c>
      <c r="H4" s="9" t="s">
        <v>335</v>
      </c>
    </row>
    <row r="5" customFormat="false" ht="15" hidden="false" customHeight="false" outlineLevel="0" collapsed="false">
      <c r="A5" s="10" t="n">
        <v>1</v>
      </c>
      <c r="B5" s="10" t="s">
        <v>457</v>
      </c>
      <c r="C5" s="10" t="s">
        <v>458</v>
      </c>
      <c r="D5" s="10" t="s">
        <v>459</v>
      </c>
      <c r="E5" s="10" t="s">
        <v>460</v>
      </c>
      <c r="F5" s="10" t="s">
        <v>461</v>
      </c>
      <c r="G5" s="10" t="s">
        <v>340</v>
      </c>
      <c r="H5" s="10" t="s">
        <v>340</v>
      </c>
    </row>
    <row r="6" customFormat="false" ht="15" hidden="false" customHeight="false" outlineLevel="0" collapsed="false">
      <c r="A6" s="10" t="n">
        <v>2</v>
      </c>
      <c r="B6" s="10" t="s">
        <v>462</v>
      </c>
      <c r="C6" s="10" t="s">
        <v>458</v>
      </c>
      <c r="D6" s="10" t="s">
        <v>463</v>
      </c>
      <c r="E6" s="10" t="s">
        <v>460</v>
      </c>
      <c r="F6" s="10" t="s">
        <v>464</v>
      </c>
      <c r="G6" s="10" t="s">
        <v>340</v>
      </c>
      <c r="H6" s="10" t="s">
        <v>340</v>
      </c>
    </row>
    <row r="7" customFormat="false" ht="15" hidden="false" customHeight="false" outlineLevel="0" collapsed="false">
      <c r="A7" s="10" t="n">
        <v>3</v>
      </c>
      <c r="B7" s="10" t="s">
        <v>465</v>
      </c>
      <c r="C7" s="10" t="s">
        <v>458</v>
      </c>
      <c r="D7" s="10" t="s">
        <v>459</v>
      </c>
      <c r="E7" s="10" t="s">
        <v>460</v>
      </c>
      <c r="F7" s="10" t="s">
        <v>466</v>
      </c>
      <c r="G7" s="10" t="s">
        <v>340</v>
      </c>
      <c r="H7" s="10" t="s">
        <v>340</v>
      </c>
    </row>
    <row r="8" customFormat="false" ht="15" hidden="false" customHeight="false" outlineLevel="0" collapsed="false">
      <c r="A8" s="10" t="n">
        <v>4</v>
      </c>
      <c r="B8" s="10" t="s">
        <v>467</v>
      </c>
      <c r="C8" s="10" t="s">
        <v>458</v>
      </c>
      <c r="D8" s="10" t="s">
        <v>320</v>
      </c>
      <c r="E8" s="10" t="s">
        <v>460</v>
      </c>
      <c r="F8" s="10" t="s">
        <v>468</v>
      </c>
      <c r="G8" s="10" t="s">
        <v>469</v>
      </c>
      <c r="H8" s="10" t="s">
        <v>340</v>
      </c>
    </row>
    <row r="9" customFormat="false" ht="15" hidden="false" customHeight="false" outlineLevel="0" collapsed="false">
      <c r="A9" s="10" t="n">
        <v>5</v>
      </c>
      <c r="B9" s="10" t="s">
        <v>470</v>
      </c>
      <c r="C9" s="10" t="s">
        <v>458</v>
      </c>
      <c r="D9" s="10" t="s">
        <v>459</v>
      </c>
      <c r="E9" s="10" t="s">
        <v>460</v>
      </c>
      <c r="F9" s="10" t="s">
        <v>471</v>
      </c>
      <c r="G9" s="10" t="s">
        <v>472</v>
      </c>
      <c r="H9" s="10" t="s">
        <v>473</v>
      </c>
    </row>
    <row r="10" customFormat="false" ht="15" hidden="false" customHeight="false" outlineLevel="0" collapsed="false">
      <c r="A10" s="10" t="n">
        <v>6</v>
      </c>
      <c r="B10" s="10" t="s">
        <v>474</v>
      </c>
      <c r="C10" s="10" t="s">
        <v>359</v>
      </c>
      <c r="D10" s="10" t="s">
        <v>365</v>
      </c>
      <c r="E10" s="10" t="s">
        <v>361</v>
      </c>
      <c r="F10" s="10" t="s">
        <v>475</v>
      </c>
      <c r="G10" s="10" t="s">
        <v>476</v>
      </c>
      <c r="H10" s="10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34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8" t="s">
        <v>478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A4" s="9" t="s">
        <v>328</v>
      </c>
      <c r="B4" s="9" t="s">
        <v>329</v>
      </c>
      <c r="C4" s="9" t="s">
        <v>330</v>
      </c>
      <c r="D4" s="9" t="s">
        <v>331</v>
      </c>
      <c r="E4" s="9" t="s">
        <v>332</v>
      </c>
      <c r="F4" s="9" t="s">
        <v>333</v>
      </c>
      <c r="G4" s="9" t="s">
        <v>334</v>
      </c>
      <c r="H4" s="9" t="s">
        <v>335</v>
      </c>
    </row>
    <row r="5" customFormat="false" ht="23.85" hidden="false" customHeight="false" outlineLevel="0" collapsed="false">
      <c r="A5" s="10" t="n">
        <v>1</v>
      </c>
      <c r="B5" s="10" t="s">
        <v>479</v>
      </c>
      <c r="C5" s="10" t="s">
        <v>300</v>
      </c>
      <c r="D5" s="10" t="s">
        <v>480</v>
      </c>
      <c r="E5" s="10" t="s">
        <v>481</v>
      </c>
      <c r="F5" s="17" t="s">
        <v>482</v>
      </c>
      <c r="G5" s="10" t="s">
        <v>340</v>
      </c>
      <c r="H5" s="10" t="s">
        <v>483</v>
      </c>
    </row>
    <row r="6" customFormat="false" ht="15" hidden="false" customHeight="false" outlineLevel="0" collapsed="false">
      <c r="A6" s="10" t="n">
        <v>2</v>
      </c>
      <c r="B6" s="10" t="s">
        <v>484</v>
      </c>
      <c r="C6" s="10" t="s">
        <v>359</v>
      </c>
      <c r="D6" s="10" t="s">
        <v>360</v>
      </c>
      <c r="E6" s="10" t="s">
        <v>361</v>
      </c>
      <c r="F6" s="10" t="s">
        <v>485</v>
      </c>
      <c r="G6" s="10" t="s">
        <v>486</v>
      </c>
      <c r="H6" s="10" t="s">
        <v>487</v>
      </c>
    </row>
    <row r="7" customFormat="false" ht="15" hidden="false" customHeight="false" outlineLevel="0" collapsed="false">
      <c r="A7" s="10" t="n">
        <v>3</v>
      </c>
      <c r="B7" s="10" t="s">
        <v>488</v>
      </c>
      <c r="C7" s="10" t="s">
        <v>359</v>
      </c>
      <c r="D7" s="10" t="s">
        <v>489</v>
      </c>
      <c r="E7" s="10" t="s">
        <v>361</v>
      </c>
      <c r="F7" s="10" t="s">
        <v>490</v>
      </c>
      <c r="G7" s="10" t="s">
        <v>340</v>
      </c>
      <c r="H7" s="10" t="s">
        <v>491</v>
      </c>
    </row>
    <row r="8" customFormat="false" ht="15" hidden="false" customHeight="false" outlineLevel="0" collapsed="false">
      <c r="A8" s="10" t="n">
        <v>4</v>
      </c>
      <c r="B8" s="10" t="s">
        <v>492</v>
      </c>
      <c r="C8" s="10" t="s">
        <v>359</v>
      </c>
      <c r="D8" s="10" t="s">
        <v>493</v>
      </c>
      <c r="E8" s="10" t="s">
        <v>494</v>
      </c>
      <c r="F8" s="10" t="s">
        <v>495</v>
      </c>
      <c r="G8" s="10" t="s">
        <v>496</v>
      </c>
      <c r="H8" s="10" t="s">
        <v>340</v>
      </c>
    </row>
    <row r="9" customFormat="false" ht="15" hidden="false" customHeight="false" outlineLevel="0" collapsed="false">
      <c r="A9" s="10" t="n">
        <v>5</v>
      </c>
      <c r="B9" s="10" t="s">
        <v>497</v>
      </c>
      <c r="C9" s="10" t="s">
        <v>359</v>
      </c>
      <c r="D9" s="10" t="s">
        <v>493</v>
      </c>
      <c r="E9" s="10" t="s">
        <v>361</v>
      </c>
      <c r="F9" s="10" t="s">
        <v>498</v>
      </c>
      <c r="G9" s="10" t="s">
        <v>340</v>
      </c>
      <c r="H9" s="10" t="s">
        <v>340</v>
      </c>
    </row>
    <row r="10" customFormat="false" ht="15" hidden="false" customHeight="false" outlineLevel="0" collapsed="false">
      <c r="A10" s="10" t="n">
        <v>6</v>
      </c>
      <c r="B10" s="10" t="s">
        <v>499</v>
      </c>
      <c r="C10" s="10" t="s">
        <v>359</v>
      </c>
      <c r="D10" s="10" t="s">
        <v>493</v>
      </c>
      <c r="E10" s="10" t="s">
        <v>361</v>
      </c>
      <c r="F10" s="10" t="s">
        <v>500</v>
      </c>
      <c r="G10" s="10" t="s">
        <v>501</v>
      </c>
      <c r="H10" s="10" t="s">
        <v>340</v>
      </c>
    </row>
    <row r="11" customFormat="false" ht="15" hidden="false" customHeight="false" outlineLevel="0" collapsed="false">
      <c r="A11" s="10" t="n">
        <v>7</v>
      </c>
      <c r="B11" s="10" t="s">
        <v>502</v>
      </c>
      <c r="C11" s="10" t="s">
        <v>359</v>
      </c>
      <c r="D11" s="10" t="s">
        <v>289</v>
      </c>
      <c r="E11" s="10" t="s">
        <v>361</v>
      </c>
      <c r="F11" s="10" t="s">
        <v>503</v>
      </c>
      <c r="G11" s="10" t="s">
        <v>340</v>
      </c>
      <c r="H11" s="10" t="s">
        <v>340</v>
      </c>
    </row>
    <row r="12" customFormat="false" ht="23.85" hidden="false" customHeight="false" outlineLevel="0" collapsed="false">
      <c r="A12" s="10" t="n">
        <v>8</v>
      </c>
      <c r="B12" s="10" t="s">
        <v>504</v>
      </c>
      <c r="C12" s="10" t="s">
        <v>359</v>
      </c>
      <c r="D12" s="10" t="s">
        <v>289</v>
      </c>
      <c r="E12" s="10" t="s">
        <v>361</v>
      </c>
      <c r="F12" s="17" t="s">
        <v>505</v>
      </c>
      <c r="G12" s="10" t="s">
        <v>340</v>
      </c>
      <c r="H12" s="10" t="s">
        <v>340</v>
      </c>
    </row>
    <row r="13" customFormat="false" ht="23.85" hidden="false" customHeight="false" outlineLevel="0" collapsed="false">
      <c r="A13" s="10" t="n">
        <v>9</v>
      </c>
      <c r="B13" s="10" t="s">
        <v>506</v>
      </c>
      <c r="C13" s="10" t="s">
        <v>359</v>
      </c>
      <c r="D13" s="10" t="s">
        <v>289</v>
      </c>
      <c r="E13" s="10" t="s">
        <v>361</v>
      </c>
      <c r="F13" s="17" t="s">
        <v>507</v>
      </c>
      <c r="G13" s="10" t="s">
        <v>340</v>
      </c>
      <c r="H13" s="10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2026-10-25T09:21:05Z</dcterms:created>
  <dc:creator>openpyxl</dc:creator>
  <dc:description/>
  <dc:language>en-US</dc:language>
  <cp:lastModifiedBy/>
  <dcterms:modified xsi:type="dcterms:W3CDTF">2026-10-25T09:21:05Z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