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Company Setup" sheetId="2" state="visible" r:id="rId4"/>
    <sheet name="Employees" sheetId="3" state="visible" r:id="rId5"/>
    <sheet name="Users per Department" sheetId="4" state="visible" r:id="rId6"/>
    <sheet name="Organization Chart" sheetId="5" state="visible" r:id="rId7"/>
    <sheet name="Chart of Accounts" sheetId="6" state="visible" r:id="rId8"/>
    <sheet name="Opening Trial Balance" sheetId="7" state="visible" r:id="rId9"/>
    <sheet name="Opening Partner Balances" sheetId="8" state="visible" r:id="rId10"/>
    <sheet name="Bank Details" sheetId="9" state="visible" r:id="rId11"/>
    <sheet name="Cash Safes" sheetId="10" state="visible" r:id="rId12"/>
    <sheet name="Journals" sheetId="11" state="visible" r:id="rId13"/>
    <sheet name="Taxes" sheetId="12" state="visible" r:id="rId14"/>
    <sheet name="Analytic Accounting" sheetId="13" state="visible" r:id="rId15"/>
    <sheet name="Currenci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<sst xmlns="http://schemas.openxmlformats.org/spreadsheetml/2006/main" count="2146" uniqueCount="800">
  <si>
    <t xml:space="preserve">Organization and Accounting Charts</t>
  </si>
  <si>
    <t xml:space="preserve">Beitak Smart - Odoo implementation | Entity data (GAWF). Fictional project data; assumptions on the last rows.</t>
  </si>
  <si>
    <t xml:space="preserve">Sheet</t>
  </si>
  <si>
    <t xml:space="preserve">Content</t>
  </si>
  <si>
    <t xml:space="preserve">Instructor requirement</t>
  </si>
  <si>
    <t xml:space="preserve">Company Setup</t>
  </si>
  <si>
    <t xml:space="preserve">Company data and basic configuration</t>
  </si>
  <si>
    <t xml:space="preserve">Company Foundation / Basic Configuration</t>
  </si>
  <si>
    <t xml:space="preserve">Organization Chart</t>
  </si>
  <si>
    <t xml:space="preserve">Departments, managers, headcount and users</t>
  </si>
  <si>
    <t xml:space="preserve">Entity Data 1 - Organization Chart</t>
  </si>
  <si>
    <t xml:space="preserve">Employees</t>
  </si>
  <si>
    <t xml:space="preserve">36 employees with job, department, manager</t>
  </si>
  <si>
    <t xml:space="preserve">HR - Departments &gt; Employees</t>
  </si>
  <si>
    <t xml:space="preserve">Users per Department</t>
  </si>
  <si>
    <t xml:space="preserve">Odoo users and access level per app</t>
  </si>
  <si>
    <t xml:space="preserve">Number of users per department / Users Privileges</t>
  </si>
  <si>
    <t xml:space="preserve">Chart of Accounts</t>
  </si>
  <si>
    <t xml:space="preserve">Final CoA used by the design</t>
  </si>
  <si>
    <t xml:space="preserve">Entity Data 2 - CoA</t>
  </si>
  <si>
    <t xml:space="preserve">Opening Trial Balance</t>
  </si>
  <si>
    <t xml:space="preserve">Opening balances by account, balanced check</t>
  </si>
  <si>
    <t xml:space="preserve">Entity Data 3 - Opening Balances</t>
  </si>
  <si>
    <t xml:space="preserve">Opening Partner Balances</t>
  </si>
  <si>
    <t xml:space="preserve">Opening AR / AP / cheques per partner</t>
  </si>
  <si>
    <t xml:space="preserve">Partners chart - Balances</t>
  </si>
  <si>
    <t xml:space="preserve">Bank Details</t>
  </si>
  <si>
    <t xml:space="preserve">Banks, accounts (placeholders), journals</t>
  </si>
  <si>
    <t xml:space="preserve">Entity Data 4 - Bank details</t>
  </si>
  <si>
    <t xml:space="preserve">Cash Safes</t>
  </si>
  <si>
    <t xml:space="preserve">Safes, custodians, limits and daily cycle</t>
  </si>
  <si>
    <t xml:space="preserve">Entity Data 5 - Cash safe details</t>
  </si>
  <si>
    <t xml:space="preserve">Journals</t>
  </si>
  <si>
    <t xml:space="preserve">Bank, cash and system journals</t>
  </si>
  <si>
    <t xml:space="preserve">Entity Data 6 - Chart of Journals</t>
  </si>
  <si>
    <t xml:space="preserve">Taxes</t>
  </si>
  <si>
    <t xml:space="preserve">VAT and withholding taxes</t>
  </si>
  <si>
    <t xml:space="preserve">Entity Data 7 - Tax Chart</t>
  </si>
  <si>
    <t xml:space="preserve">Analytic Accounting</t>
  </si>
  <si>
    <t xml:space="preserve">Business line and branch plans</t>
  </si>
  <si>
    <t xml:space="preserve">Approach for divisions / branches</t>
  </si>
  <si>
    <t xml:space="preserve">Currencies</t>
  </si>
  <si>
    <t xml:space="preserve">EGP and USD with opening rate</t>
  </si>
  <si>
    <t xml:space="preserve">Multi-currency</t>
  </si>
  <si>
    <t xml:space="preserve">Assumptions</t>
  </si>
  <si>
    <t xml:space="preserve">Odoo version</t>
  </si>
  <si>
    <t xml:space="preserve">Files target Odoo 18/19 field names (type=Goods + is_storable). On Odoo 17 replace 'type'+'is_storable' with 'detailed_type' = product.</t>
  </si>
  <si>
    <t xml:space="preserve">Database</t>
  </si>
  <si>
    <t xml:space="preserve">Designed for a NEW clean database with the Egypt fiscal localization. Importing into the old database will clash with existing account codes and products.</t>
  </si>
  <si>
    <t xml:space="preserve">Exchange rate</t>
  </si>
  <si>
    <t xml:space="preserve">USD/EGP = 50.00 on 2027-01-01. Project assumption, not an official CBE rate.</t>
  </si>
  <si>
    <t xml:space="preserve">Landed costs</t>
  </si>
  <si>
    <t xml:space="preserve">Cost of imported items = FOB price x 50 x 1.10 (about 10% for freight, duties, clearance and insurance). Assumption.</t>
  </si>
  <si>
    <t xml:space="preserve">Sales prices</t>
  </si>
  <si>
    <t xml:space="preserve">Sales prices are VAT-exclusive. VAT 14% comes from the Egypt localization default taxes.</t>
  </si>
  <si>
    <t xml:space="preserve">Costing</t>
  </si>
  <si>
    <t xml:space="preserve">AVCO + automated (perpetual) valuation on all stockable categories. Needed for Landed Costs.</t>
  </si>
  <si>
    <t xml:space="preserve">Opening stock</t>
  </si>
  <si>
    <t xml:space="preserve">Stock is loaded through Physical Inventory with accounting date 2027-01-01. Its counterpart is account 190100 Opening Stock Clearing, which the opening journal entry closes to zero.</t>
  </si>
  <si>
    <t xml:space="preserve">VAT 14% and withholding tax 1% / 2% / 3% (team decision). Rates, categories and thresholds must be reviewed by a tax specialist before go-live.</t>
  </si>
  <si>
    <t xml:space="preserve">Personal data</t>
  </si>
  <si>
    <t xml:space="preserve">All names, emails, phones, tax IDs and bank numbers are fictional placeholders (.example domains).</t>
  </si>
  <si>
    <t xml:space="preserve">Company Setup - Basic Configuration Data</t>
  </si>
  <si>
    <t xml:space="preserve">Values entered in Settings &gt; Companies and the app settings.</t>
  </si>
  <si>
    <t xml:space="preserve">Setting</t>
  </si>
  <si>
    <t xml:space="preserve">Value</t>
  </si>
  <si>
    <t xml:space="preserve">Company name</t>
  </si>
  <si>
    <t xml:space="preserve">Beitak Smart</t>
  </si>
  <si>
    <t xml:space="preserve">Legal form</t>
  </si>
  <si>
    <t xml:space="preserve">Joint Stock Company (S.A.E.) - assumption</t>
  </si>
  <si>
    <t xml:space="preserve">Activity</t>
  </si>
  <si>
    <t xml:space="preserve">Import, distribution and retail of home appliances; in-house assembly of fans and components</t>
  </si>
  <si>
    <t xml:space="preserve">Head office</t>
  </si>
  <si>
    <t xml:space="preserve">Nasr City, Cairo (placeholder address)</t>
  </si>
  <si>
    <t xml:space="preserve">Showroom</t>
  </si>
  <si>
    <t xml:space="preserve">Cairo Showroom (POS)</t>
  </si>
  <si>
    <t xml:space="preserve">Warehouses</t>
  </si>
  <si>
    <t xml:space="preserve">Cairo (Main, CAW), Alexandria (ALW), Mansoura (MAW), Ismailia (ISW), Asyut (ASW)</t>
  </si>
  <si>
    <t xml:space="preserve">Company currency</t>
  </si>
  <si>
    <t xml:space="preserve">EGP</t>
  </si>
  <si>
    <t xml:space="preserve">Foreign currency</t>
  </si>
  <si>
    <t xml:space="preserve">USD (opening rate 50.00 EGP - assumption)</t>
  </si>
  <si>
    <t xml:space="preserve">Fiscal year</t>
  </si>
  <si>
    <t xml:space="preserve">1 January - 31 December</t>
  </si>
  <si>
    <t xml:space="preserve">Fiscal localization</t>
  </si>
  <si>
    <t xml:space="preserve">Egypt (chart of accounts, VAT and WHT taxes)</t>
  </si>
  <si>
    <t xml:space="preserve">Opening balance date</t>
  </si>
  <si>
    <t xml:space="preserve">2027-01-01</t>
  </si>
  <si>
    <t xml:space="preserve">Tax registration no.</t>
  </si>
  <si>
    <t xml:space="preserve">000-000-000 (placeholder)</t>
  </si>
  <si>
    <t xml:space="preserve">Commercial register</t>
  </si>
  <si>
    <t xml:space="preserve">000000 (placeholder)</t>
  </si>
  <si>
    <t xml:space="preserve">Company email</t>
  </si>
  <si>
    <t xml:space="preserve">info@beitaksmart.example</t>
  </si>
  <si>
    <t xml:space="preserve">Odoo 19 (field names also valid for Odoo 18)</t>
  </si>
  <si>
    <t xml:space="preserve">Apps</t>
  </si>
  <si>
    <t xml:space="preserve">Accounting, Sales, CRM, Purchase, Inventory, Manufacturing, Point of Sale, Employees, Time Off, Attendances, Contacts</t>
  </si>
  <si>
    <t xml:space="preserve">Employees / Odoo users</t>
  </si>
  <si>
    <t xml:space="preserve">36 employees / 30 users</t>
  </si>
  <si>
    <t xml:space="preserve">Chart of Employees</t>
  </si>
  <si>
    <t xml:space="preserve">Imported with 07_Employees.xlsx. Emails and extensions are placeholders. No salary data is stored.</t>
  </si>
  <si>
    <t xml:space="preserve">Emp. No.</t>
  </si>
  <si>
    <t xml:space="preserve">Name</t>
  </si>
  <si>
    <t xml:space="preserve">Job Position</t>
  </si>
  <si>
    <t xml:space="preserve">Job Title</t>
  </si>
  <si>
    <t xml:space="preserve">Department</t>
  </si>
  <si>
    <t xml:space="preserve">Manager</t>
  </si>
  <si>
    <t xml:space="preserve">Work Location</t>
  </si>
  <si>
    <t xml:space="preserve">Work Email</t>
  </si>
  <si>
    <t xml:space="preserve">Odoo User</t>
  </si>
  <si>
    <t xml:space="preserve">EMP-01</t>
  </si>
  <si>
    <t xml:space="preserve">Hany Mostafa</t>
  </si>
  <si>
    <t xml:space="preserve">General Manager</t>
  </si>
  <si>
    <t xml:space="preserve">General Management</t>
  </si>
  <si>
    <t xml:space="preserve">-</t>
  </si>
  <si>
    <t xml:space="preserve">Cairo HO</t>
  </si>
  <si>
    <t xml:space="preserve">hany.mostafa@beitaksmart.example</t>
  </si>
  <si>
    <t xml:space="preserve">Yes</t>
  </si>
  <si>
    <t xml:space="preserve">EMP-02</t>
  </si>
  <si>
    <t xml:space="preserve">Rania Fathy</t>
  </si>
  <si>
    <t xml:space="preserve">Finance Manager</t>
  </si>
  <si>
    <t xml:space="preserve">Finance &amp; Accounting</t>
  </si>
  <si>
    <t xml:space="preserve">rania.fathy@beitaksmart.example</t>
  </si>
  <si>
    <t xml:space="preserve">EMP-03</t>
  </si>
  <si>
    <t xml:space="preserve">Sherif Nabil</t>
  </si>
  <si>
    <t xml:space="preserve">Procurement &amp; Import Manager</t>
  </si>
  <si>
    <t xml:space="preserve">Procurement &amp; Import</t>
  </si>
  <si>
    <t xml:space="preserve">sherif.nabil@beitaksmart.example</t>
  </si>
  <si>
    <t xml:space="preserve">EMP-04</t>
  </si>
  <si>
    <t xml:space="preserve">Karim Adel</t>
  </si>
  <si>
    <t xml:space="preserve">Sales Manager</t>
  </si>
  <si>
    <t xml:space="preserve">Sales</t>
  </si>
  <si>
    <t xml:space="preserve">karim.adel@beitaksmart.example</t>
  </si>
  <si>
    <t xml:space="preserve">EMP-05</t>
  </si>
  <si>
    <t xml:space="preserve">Tamer Salah</t>
  </si>
  <si>
    <t xml:space="preserve">Warehouse &amp; Logistics Manager</t>
  </si>
  <si>
    <t xml:space="preserve">Warehouse &amp; Logistics</t>
  </si>
  <si>
    <t xml:space="preserve">Cairo Warehouse</t>
  </si>
  <si>
    <t xml:space="preserve">tamer.salah@beitaksmart.example</t>
  </si>
  <si>
    <t xml:space="preserve">EMP-06</t>
  </si>
  <si>
    <t xml:space="preserve">Mohamed Zaki</t>
  </si>
  <si>
    <t xml:space="preserve">Production Manager</t>
  </si>
  <si>
    <t xml:space="preserve">Production</t>
  </si>
  <si>
    <t xml:space="preserve">mohamed.zaki@beitaksmart.example</t>
  </si>
  <si>
    <t xml:space="preserve">EMP-07</t>
  </si>
  <si>
    <t xml:space="preserve">Dina Samir</t>
  </si>
  <si>
    <t xml:space="preserve">HR Manager</t>
  </si>
  <si>
    <t xml:space="preserve">Human Resources</t>
  </si>
  <si>
    <t xml:space="preserve">dina.samir@beitaksmart.example</t>
  </si>
  <si>
    <t xml:space="preserve">EMP-08</t>
  </si>
  <si>
    <t xml:space="preserve">Omar Hassan</t>
  </si>
  <si>
    <t xml:space="preserve">IT &amp; ERP Administrator</t>
  </si>
  <si>
    <t xml:space="preserve">IT &amp; ERP</t>
  </si>
  <si>
    <t xml:space="preserve">omar.hassan@beitaksmart.example</t>
  </si>
  <si>
    <t xml:space="preserve">EMP-09</t>
  </si>
  <si>
    <t xml:space="preserve">Mahmoud Ali</t>
  </si>
  <si>
    <t xml:space="preserve">Senior Accountant</t>
  </si>
  <si>
    <t xml:space="preserve">mahmoud.ali@beitaksmart.example</t>
  </si>
  <si>
    <t xml:space="preserve">EMP-10</t>
  </si>
  <si>
    <t xml:space="preserve">Nourhan Ibrahim</t>
  </si>
  <si>
    <t xml:space="preserve">Accountant</t>
  </si>
  <si>
    <t xml:space="preserve">Accountant - AP &amp; AR</t>
  </si>
  <si>
    <t xml:space="preserve">nourhan.ibrahim@beitaksmart.example</t>
  </si>
  <si>
    <t xml:space="preserve">EMP-11</t>
  </si>
  <si>
    <t xml:space="preserve">Wael Said</t>
  </si>
  <si>
    <t xml:space="preserve">Treasurer / Cashier</t>
  </si>
  <si>
    <t xml:space="preserve">wael.said@beitaksmart.example</t>
  </si>
  <si>
    <t xml:space="preserve">EMP-12</t>
  </si>
  <si>
    <t xml:space="preserve">Yasser Kamal</t>
  </si>
  <si>
    <t xml:space="preserve">Import Specialist</t>
  </si>
  <si>
    <t xml:space="preserve">yasser.kamal@beitaksmart.example</t>
  </si>
  <si>
    <t xml:space="preserve">EMP-13</t>
  </si>
  <si>
    <t xml:space="preserve">Heba Mahmoud</t>
  </si>
  <si>
    <t xml:space="preserve">Purchasing Specialist</t>
  </si>
  <si>
    <t xml:space="preserve">Purchasing Specialist - Local &amp; Raw Materials</t>
  </si>
  <si>
    <t xml:space="preserve">heba.mahmoud@beitaksmart.example</t>
  </si>
  <si>
    <t xml:space="preserve">EMP-14</t>
  </si>
  <si>
    <t xml:space="preserve">Mostafa Gamal</t>
  </si>
  <si>
    <t xml:space="preserve">Key Account Manager</t>
  </si>
  <si>
    <t xml:space="preserve">mostafa.gamal@beitaksmart.example</t>
  </si>
  <si>
    <t xml:space="preserve">EMP-15</t>
  </si>
  <si>
    <t xml:space="preserve">Amr Fouad</t>
  </si>
  <si>
    <t xml:space="preserve">Sales Representative</t>
  </si>
  <si>
    <t xml:space="preserve">Sales Representative - Cairo &amp; Giza</t>
  </si>
  <si>
    <t xml:space="preserve">amr.fouad@beitaksmart.example</t>
  </si>
  <si>
    <t xml:space="preserve">EMP-16</t>
  </si>
  <si>
    <t xml:space="preserve">Islam Reda</t>
  </si>
  <si>
    <t xml:space="preserve">Sales Representative - Alexandria</t>
  </si>
  <si>
    <t xml:space="preserve">Alexandria</t>
  </si>
  <si>
    <t xml:space="preserve">islam.reda@beitaksmart.example</t>
  </si>
  <si>
    <t xml:space="preserve">EMP-17</t>
  </si>
  <si>
    <t xml:space="preserve">Walid Shawky</t>
  </si>
  <si>
    <t xml:space="preserve">Sales Representative - Delta</t>
  </si>
  <si>
    <t xml:space="preserve">Mansoura</t>
  </si>
  <si>
    <t xml:space="preserve">walid.shawky@beitaksmart.example</t>
  </si>
  <si>
    <t xml:space="preserve">EMP-18</t>
  </si>
  <si>
    <t xml:space="preserve">Hossam Tarek</t>
  </si>
  <si>
    <t xml:space="preserve">Sales Representative - Canal</t>
  </si>
  <si>
    <t xml:space="preserve">Ismailia</t>
  </si>
  <si>
    <t xml:space="preserve">hossam.tarek@beitaksmart.example</t>
  </si>
  <si>
    <t xml:space="preserve">EMP-19</t>
  </si>
  <si>
    <t xml:space="preserve">Mina Fawzy</t>
  </si>
  <si>
    <t xml:space="preserve">Sales Representative - Upper Egypt</t>
  </si>
  <si>
    <t xml:space="preserve">Asyut</t>
  </si>
  <si>
    <t xml:space="preserve">mina.fawzy@beitaksmart.example</t>
  </si>
  <si>
    <t xml:space="preserve">EMP-20</t>
  </si>
  <si>
    <t xml:space="preserve">Salma Ashraf</t>
  </si>
  <si>
    <t xml:space="preserve">Showroom Supervisor</t>
  </si>
  <si>
    <t xml:space="preserve">Showroom &amp; Retail</t>
  </si>
  <si>
    <t xml:space="preserve">Cairo Showroom</t>
  </si>
  <si>
    <t xml:space="preserve">salma.ashraf@beitaksmart.example</t>
  </si>
  <si>
    <t xml:space="preserve">EMP-21</t>
  </si>
  <si>
    <t xml:space="preserve">Mariam Lotfy</t>
  </si>
  <si>
    <t xml:space="preserve">Showroom Cashier</t>
  </si>
  <si>
    <t xml:space="preserve">mariam.lotfy@beitaksmart.example</t>
  </si>
  <si>
    <t xml:space="preserve">EMP-22</t>
  </si>
  <si>
    <t xml:space="preserve">Youssef Nader</t>
  </si>
  <si>
    <t xml:space="preserve">Showroom Sales Associate</t>
  </si>
  <si>
    <t xml:space="preserve">youssef.nader@beitaksmart.example</t>
  </si>
  <si>
    <t xml:space="preserve">EMP-23</t>
  </si>
  <si>
    <t xml:space="preserve">Ehab Morsy</t>
  </si>
  <si>
    <t xml:space="preserve">Warehouse Keeper</t>
  </si>
  <si>
    <t xml:space="preserve">Warehouse Keeper - Cairo (Main)</t>
  </si>
  <si>
    <t xml:space="preserve">ehab.morsy@beitaksmart.example</t>
  </si>
  <si>
    <t xml:space="preserve">EMP-24</t>
  </si>
  <si>
    <t xml:space="preserve">Sameh Rashad</t>
  </si>
  <si>
    <t xml:space="preserve">Warehouse Keeper - Alexandria</t>
  </si>
  <si>
    <t xml:space="preserve">sameh.rashad@beitaksmart.example</t>
  </si>
  <si>
    <t xml:space="preserve">EMP-25</t>
  </si>
  <si>
    <t xml:space="preserve">Adel Mansour</t>
  </si>
  <si>
    <t xml:space="preserve">Warehouse Keeper - Mansoura</t>
  </si>
  <si>
    <t xml:space="preserve">adel.mansour@beitaksmart.example</t>
  </si>
  <si>
    <t xml:space="preserve">EMP-26</t>
  </si>
  <si>
    <t xml:space="preserve">Khaled Fekry</t>
  </si>
  <si>
    <t xml:space="preserve">Warehouse Keeper - Ismailia</t>
  </si>
  <si>
    <t xml:space="preserve">khaled.fekry@beitaksmart.example</t>
  </si>
  <si>
    <t xml:space="preserve">EMP-27</t>
  </si>
  <si>
    <t xml:space="preserve">Ramy Abdelaziz</t>
  </si>
  <si>
    <t xml:space="preserve">Warehouse Keeper - Asyut</t>
  </si>
  <si>
    <t xml:space="preserve">ramy.abdelaziz@beitaksmart.example</t>
  </si>
  <si>
    <t xml:space="preserve">EMP-28</t>
  </si>
  <si>
    <t xml:space="preserve">Saeed Hamed</t>
  </si>
  <si>
    <t xml:space="preserve">Delivery Driver</t>
  </si>
  <si>
    <t xml:space="preserve">saeed.hamed@beitaksmart.example</t>
  </si>
  <si>
    <t xml:space="preserve">No</t>
  </si>
  <si>
    <t xml:space="preserve">EMP-29</t>
  </si>
  <si>
    <t xml:space="preserve">Fathy Ragab</t>
  </si>
  <si>
    <t xml:space="preserve">fathy.ragab@beitaksmart.example</t>
  </si>
  <si>
    <t xml:space="preserve">EMP-30</t>
  </si>
  <si>
    <t xml:space="preserve">Bassem Wahba</t>
  </si>
  <si>
    <t xml:space="preserve">Production Supervisor</t>
  </si>
  <si>
    <t xml:space="preserve">bassem.wahba@beitaksmart.example</t>
  </si>
  <si>
    <t xml:space="preserve">EMP-31</t>
  </si>
  <si>
    <t xml:space="preserve">Ayman Kassem</t>
  </si>
  <si>
    <t xml:space="preserve">Assembly Technician</t>
  </si>
  <si>
    <t xml:space="preserve">ayman.kassem@beitaksmart.example</t>
  </si>
  <si>
    <t xml:space="preserve">EMP-32</t>
  </si>
  <si>
    <t xml:space="preserve">Mohamed Saber</t>
  </si>
  <si>
    <t xml:space="preserve">mohamed.saber@beitaksmart.example</t>
  </si>
  <si>
    <t xml:space="preserve">EMP-33</t>
  </si>
  <si>
    <t xml:space="preserve">Ibrahim Galal</t>
  </si>
  <si>
    <t xml:space="preserve">Electronics Technician</t>
  </si>
  <si>
    <t xml:space="preserve">ibrahim.galal@beitaksmart.example</t>
  </si>
  <si>
    <t xml:space="preserve">EMP-34</t>
  </si>
  <si>
    <t xml:space="preserve">Reda Sobhy</t>
  </si>
  <si>
    <t xml:space="preserve">Metal Fabrication Technician</t>
  </si>
  <si>
    <t xml:space="preserve">reda.sobhy@beitaksmart.example</t>
  </si>
  <si>
    <t xml:space="preserve">EMP-35</t>
  </si>
  <si>
    <t xml:space="preserve">Nesma Kamel</t>
  </si>
  <si>
    <t xml:space="preserve">Quality Control Inspector</t>
  </si>
  <si>
    <t xml:space="preserve">Quality Control</t>
  </si>
  <si>
    <t xml:space="preserve">nesma.kamel@beitaksmart.example</t>
  </si>
  <si>
    <t xml:space="preserve">EMP-36</t>
  </si>
  <si>
    <t xml:space="preserve">Aya Hesham</t>
  </si>
  <si>
    <t xml:space="preserve">HR Specialist</t>
  </si>
  <si>
    <t xml:space="preserve">aya.hesham@beitaksmart.example</t>
  </si>
  <si>
    <t xml:space="preserve">Users &amp; Access Rights per Department</t>
  </si>
  <si>
    <t xml:space="preserve">Users are created from the employee form (Create User). Access levels are the Odoo groups to tick on the user form.</t>
  </si>
  <si>
    <t xml:space="preserve">User</t>
  </si>
  <si>
    <t xml:space="preserve">Login</t>
  </si>
  <si>
    <t xml:space="preserve">CRM</t>
  </si>
  <si>
    <t xml:space="preserve">Purchase</t>
  </si>
  <si>
    <t xml:space="preserve">Inventory</t>
  </si>
  <si>
    <t xml:space="preserve">Manufacturing</t>
  </si>
  <si>
    <t xml:space="preserve">Accounting</t>
  </si>
  <si>
    <t xml:space="preserve">Point of Sale</t>
  </si>
  <si>
    <t xml:space="preserve">Settings</t>
  </si>
  <si>
    <t xml:space="preserve">Administrator</t>
  </si>
  <si>
    <t xml:space="preserve">Auditor (read-only)</t>
  </si>
  <si>
    <t xml:space="preserve">Officer</t>
  </si>
  <si>
    <t xml:space="preserve">User: All Documents</t>
  </si>
  <si>
    <t xml:space="preserve">Invoicing / Billing</t>
  </si>
  <si>
    <t xml:space="preserve">Administration: Settings</t>
  </si>
  <si>
    <t xml:space="preserve">User: Own Documents Only</t>
  </si>
  <si>
    <t xml:space="preserve">Departments imported with 05_Departments.xlsx; managers with 08_Department_Managers.xlsx. Counts are formulas.</t>
  </si>
  <si>
    <t xml:space="preserve">Parent Department</t>
  </si>
  <si>
    <t xml:space="preserve">Manager Job</t>
  </si>
  <si>
    <t xml:space="preserve">Odoo Users</t>
  </si>
  <si>
    <t xml:space="preserve">Total</t>
  </si>
  <si>
    <t xml:space="preserve">Chart of Accounts (CoA)</t>
  </si>
  <si>
    <t xml:space="preserve">Beitak Smart accounts + the localization accounts the design uses. The other localization accounts stay as created by Odoo. Numbering: 1 assets, 2 liabilities, 3 equity, 4 costs &amp; expenses, 5 revenue.</t>
  </si>
  <si>
    <t xml:space="preserve">Code</t>
  </si>
  <si>
    <t xml:space="preserve">Account Name</t>
  </si>
  <si>
    <t xml:space="preserve">Type</t>
  </si>
  <si>
    <t xml:space="preserve">Group</t>
  </si>
  <si>
    <t xml:space="preserve">Reconcile</t>
  </si>
  <si>
    <t xml:space="preserve">Currency</t>
  </si>
  <si>
    <t xml:space="preserve">Source</t>
  </si>
  <si>
    <t xml:space="preserve">Used For</t>
  </si>
  <si>
    <t xml:space="preserve">100001</t>
  </si>
  <si>
    <t xml:space="preserve">Liquidity Transfer</t>
  </si>
  <si>
    <t xml:space="preserve">Current Assets</t>
  </si>
  <si>
    <t xml:space="preserve">Assets</t>
  </si>
  <si>
    <t xml:space="preserve">Egypt localization (default)</t>
  </si>
  <si>
    <t xml:space="preserve">Internal transfers between banks/safes</t>
  </si>
  <si>
    <t xml:space="preserve">101004</t>
  </si>
  <si>
    <t xml:space="preserve">Outstanding Receipts</t>
  </si>
  <si>
    <t xml:space="preserve">Bank/cash journals - receipts before reconciliation</t>
  </si>
  <si>
    <t xml:space="preserve">101101</t>
  </si>
  <si>
    <t xml:space="preserve">Main Safe - Cairo Head Office</t>
  </si>
  <si>
    <t xml:space="preserve">Bank and Cash</t>
  </si>
  <si>
    <t xml:space="preserve">Beitak Smart (imported)</t>
  </si>
  <si>
    <t xml:space="preserve">Cash journal CSHHO</t>
  </si>
  <si>
    <t xml:space="preserve">101102</t>
  </si>
  <si>
    <t xml:space="preserve">Branch Safe - Alexandria</t>
  </si>
  <si>
    <t xml:space="preserve">Cash journal CSHAL</t>
  </si>
  <si>
    <t xml:space="preserve">101103</t>
  </si>
  <si>
    <t xml:space="preserve">Petty Cash - Sales &amp; Operations</t>
  </si>
  <si>
    <t xml:space="preserve">Cash journal PETTY</t>
  </si>
  <si>
    <t xml:space="preserve">101104</t>
  </si>
  <si>
    <t xml:space="preserve">Showroom Cash Register - Cairo (POS)</t>
  </si>
  <si>
    <t xml:space="preserve">Cash journal POSCS - POS cash payments</t>
  </si>
  <si>
    <t xml:space="preserve">102012</t>
  </si>
  <si>
    <t xml:space="preserve">Accounts Receivable (PoS)</t>
  </si>
  <si>
    <t xml:space="preserve">Receivable</t>
  </si>
  <si>
    <t xml:space="preserve">POS sessions receivable</t>
  </si>
  <si>
    <t xml:space="preserve">102101</t>
  </si>
  <si>
    <t xml:space="preserve">Banque Misr - EGP Current Account</t>
  </si>
  <si>
    <t xml:space="preserve">Bank journal BMEG</t>
  </si>
  <si>
    <t xml:space="preserve">102102</t>
  </si>
  <si>
    <t xml:space="preserve">National Bank of Egypt - EGP Operating Account</t>
  </si>
  <si>
    <t xml:space="preserve">Bank journal NBEG - also POS card payments</t>
  </si>
  <si>
    <t xml:space="preserve">102103</t>
  </si>
  <si>
    <t xml:space="preserve">CIB - USD Account</t>
  </si>
  <si>
    <t xml:space="preserve">USD</t>
  </si>
  <si>
    <t xml:space="preserve">Bank journal CIBUS (USD) - overseas vendor payments</t>
  </si>
  <si>
    <t xml:space="preserve">102104</t>
  </si>
  <si>
    <t xml:space="preserve">QNB Alahli - EGP Collection Account</t>
  </si>
  <si>
    <t xml:space="preserve">Bank journal QNBEG - customer collections</t>
  </si>
  <si>
    <t xml:space="preserve">104041</t>
  </si>
  <si>
    <t xml:space="preserve">VAT Input</t>
  </si>
  <si>
    <t xml:space="preserve">Purchase VAT 14% (localization taxes)</t>
  </si>
  <si>
    <t xml:space="preserve">105003</t>
  </si>
  <si>
    <t xml:space="preserve">Outstanding Payments</t>
  </si>
  <si>
    <t xml:space="preserve">Bank/cash journals - payments before reconciliation</t>
  </si>
  <si>
    <t xml:space="preserve">110100</t>
  </si>
  <si>
    <t xml:space="preserve">Trade Receivables - Retailers</t>
  </si>
  <si>
    <t xml:space="preserve">Default receivable for retailers and walk-in</t>
  </si>
  <si>
    <t xml:space="preserve">110200</t>
  </si>
  <si>
    <t xml:space="preserve">Trade Receivables - Distributors &amp; Key Accounts</t>
  </si>
  <si>
    <t xml:space="preserve">Default receivable for distributors and corporate</t>
  </si>
  <si>
    <t xml:space="preserve">110300</t>
  </si>
  <si>
    <t xml:space="preserve">Notes Receivable - Cheques Under Collection</t>
  </si>
  <si>
    <t xml:space="preserve">Post-dated cheques received</t>
  </si>
  <si>
    <t xml:space="preserve">110500</t>
  </si>
  <si>
    <t xml:space="preserve">Prepaid Expenses &amp; Rent</t>
  </si>
  <si>
    <t xml:space="preserve">Prepayments</t>
  </si>
  <si>
    <t xml:space="preserve">Prepaid rent and insurance</t>
  </si>
  <si>
    <t xml:space="preserve">110600</t>
  </si>
  <si>
    <t xml:space="preserve">Employee Advances &amp; Custody</t>
  </si>
  <si>
    <t xml:space="preserve">Staff advances / custody</t>
  </si>
  <si>
    <t xml:space="preserve">120100</t>
  </si>
  <si>
    <t xml:space="preserve">Inventory - Refrigerators &amp; Freezers</t>
  </si>
  <si>
    <t xml:space="preserve">Stock valuation - category Refrigerators &amp; Freezers</t>
  </si>
  <si>
    <t xml:space="preserve">120200</t>
  </si>
  <si>
    <t xml:space="preserve">Inventory - Washing Machines &amp; Dishwashers</t>
  </si>
  <si>
    <t xml:space="preserve">Stock valuation - category Washing Machines &amp; Dishwashers</t>
  </si>
  <si>
    <t xml:space="preserve">120300</t>
  </si>
  <si>
    <t xml:space="preserve">Inventory - Air Conditioners &amp; Fans</t>
  </si>
  <si>
    <t xml:space="preserve">Stock valuation - category Air Conditioners &amp; Fans</t>
  </si>
  <si>
    <t xml:space="preserve">120400</t>
  </si>
  <si>
    <t xml:space="preserve">Inventory - TVs &amp; Audio</t>
  </si>
  <si>
    <t xml:space="preserve">Stock valuation - category TVs &amp; Audio</t>
  </si>
  <si>
    <t xml:space="preserve">120500</t>
  </si>
  <si>
    <t xml:space="preserve">Inventory - Small Kitchen &amp; Home Appliances</t>
  </si>
  <si>
    <t xml:space="preserve">Stock valuation - category Small Appliances</t>
  </si>
  <si>
    <t xml:space="preserve">120550</t>
  </si>
  <si>
    <t xml:space="preserve">Inventory - Cookers &amp; Ovens</t>
  </si>
  <si>
    <t xml:space="preserve">Stock valuation - category Cookers &amp; Ovens</t>
  </si>
  <si>
    <t xml:space="preserve">120600</t>
  </si>
  <si>
    <t xml:space="preserve">Inventory - Manufactured Finished Goods</t>
  </si>
  <si>
    <t xml:space="preserve">Stock valuation - Manufactured categories</t>
  </si>
  <si>
    <t xml:space="preserve">120800</t>
  </si>
  <si>
    <t xml:space="preserve">Inventory - Raw Materials &amp; Components</t>
  </si>
  <si>
    <t xml:space="preserve">Stock valuation - Raw Materials categories</t>
  </si>
  <si>
    <t xml:space="preserve">120850</t>
  </si>
  <si>
    <t xml:space="preserve">Work in Progress - Production</t>
  </si>
  <si>
    <t xml:space="preserve">Valuation account of Virtual Locations/Production</t>
  </si>
  <si>
    <t xml:space="preserve">120900</t>
  </si>
  <si>
    <t xml:space="preserve">Stock Interim - Goods Received Not Invoiced</t>
  </si>
  <si>
    <t xml:space="preserve">Stock Input account on all stockable categories</t>
  </si>
  <si>
    <t xml:space="preserve">120901</t>
  </si>
  <si>
    <t xml:space="preserve">Stock Interim - Goods Delivered Not Invoiced</t>
  </si>
  <si>
    <t xml:space="preserve">Stock Output account on all stockable categories</t>
  </si>
  <si>
    <t xml:space="preserve">130100</t>
  </si>
  <si>
    <t xml:space="preserve">Landed Costs Clearing - Sea Freight</t>
  </si>
  <si>
    <t xml:space="preserve">Expense account of landed-cost product Sea Freight</t>
  </si>
  <si>
    <t xml:space="preserve">130200</t>
  </si>
  <si>
    <t xml:space="preserve">Landed Costs Clearing - Customs Duties</t>
  </si>
  <si>
    <t xml:space="preserve">Expense account of landed-cost product Customs Duties</t>
  </si>
  <si>
    <t xml:space="preserve">130300</t>
  </si>
  <si>
    <t xml:space="preserve">Landed Costs Clearing - Clearance &amp; Port Fees</t>
  </si>
  <si>
    <t xml:space="preserve">Expense account of landed-cost product Clearance</t>
  </si>
  <si>
    <t xml:space="preserve">130400</t>
  </si>
  <si>
    <t xml:space="preserve">Landed Costs Clearing - Marine Insurance</t>
  </si>
  <si>
    <t xml:space="preserve">Expense account of landed-cost product Marine Insurance</t>
  </si>
  <si>
    <t xml:space="preserve">150100</t>
  </si>
  <si>
    <t xml:space="preserve">Buildings &amp; Showrooms</t>
  </si>
  <si>
    <t xml:space="preserve">Fixed Assets</t>
  </si>
  <si>
    <t xml:space="preserve">Fixed asset class</t>
  </si>
  <si>
    <t xml:space="preserve">150200</t>
  </si>
  <si>
    <t xml:space="preserve">Machinery &amp; Assembly Lines</t>
  </si>
  <si>
    <t xml:space="preserve">150300</t>
  </si>
  <si>
    <t xml:space="preserve">Vehicles &amp; Delivery Fleet</t>
  </si>
  <si>
    <t xml:space="preserve">150400</t>
  </si>
  <si>
    <t xml:space="preserve">Office Furniture &amp; Showroom Fixtures</t>
  </si>
  <si>
    <t xml:space="preserve">150500</t>
  </si>
  <si>
    <t xml:space="preserve">IT Hardware &amp; Network Equipment</t>
  </si>
  <si>
    <t xml:space="preserve">159100</t>
  </si>
  <si>
    <t xml:space="preserve">Accumulated Depreciation - Buildings &amp; Showrooms</t>
  </si>
  <si>
    <t xml:space="preserve">Contra asset</t>
  </si>
  <si>
    <t xml:space="preserve">159200</t>
  </si>
  <si>
    <t xml:space="preserve">Accumulated Depreciation - Machinery &amp; Assembly Lines</t>
  </si>
  <si>
    <t xml:space="preserve">159300</t>
  </si>
  <si>
    <t xml:space="preserve">Accumulated Depreciation - Vehicles &amp; Delivery Fleet</t>
  </si>
  <si>
    <t xml:space="preserve">159400</t>
  </si>
  <si>
    <t xml:space="preserve">Accumulated Depreciation - Furniture &amp; Fixtures</t>
  </si>
  <si>
    <t xml:space="preserve">159500</t>
  </si>
  <si>
    <t xml:space="preserve">Accumulated Depreciation - IT Hardware</t>
  </si>
  <si>
    <t xml:space="preserve">190100</t>
  </si>
  <si>
    <t xml:space="preserve">Opening Stock Clearing (Temporary)</t>
  </si>
  <si>
    <t xml:space="preserve">Counterpart of opening stock import; must be zero after the opening entry</t>
  </si>
  <si>
    <t xml:space="preserve">201017</t>
  </si>
  <si>
    <t xml:space="preserve">VAT Output</t>
  </si>
  <si>
    <t xml:space="preserve">Current Liabilities</t>
  </si>
  <si>
    <t xml:space="preserve">Liabilities</t>
  </si>
  <si>
    <t xml:space="preserve">Sales VAT 14% (localization taxes) - opening VAT payable</t>
  </si>
  <si>
    <t xml:space="preserve">201020</t>
  </si>
  <si>
    <t xml:space="preserve">WHTax Payable - On behalf of suppliers</t>
  </si>
  <si>
    <t xml:space="preserve">Withholding tax deducted from vendors - opening WHT payable</t>
  </si>
  <si>
    <t xml:space="preserve">210500</t>
  </si>
  <si>
    <t xml:space="preserve">Accrued Expenses &amp; Payable Charges</t>
  </si>
  <si>
    <t xml:space="preserve">Accruals</t>
  </si>
  <si>
    <t xml:space="preserve">210600</t>
  </si>
  <si>
    <t xml:space="preserve">Dividends Payable</t>
  </si>
  <si>
    <t xml:space="preserve">Dividends</t>
  </si>
  <si>
    <t xml:space="preserve">211100</t>
  </si>
  <si>
    <t xml:space="preserve">Trade Payables - Domestic Vendors</t>
  </si>
  <si>
    <t xml:space="preserve">Payable</t>
  </si>
  <si>
    <t xml:space="preserve">Default payable for local vendors</t>
  </si>
  <si>
    <t xml:space="preserve">211200</t>
  </si>
  <si>
    <t xml:space="preserve">Trade Payables - Overseas Vendors</t>
  </si>
  <si>
    <t xml:space="preserve">Default payable for overseas (USD) vendors</t>
  </si>
  <si>
    <t xml:space="preserve">212100</t>
  </si>
  <si>
    <t xml:space="preserve">Notes Payable - Post-dated Cheques Issued</t>
  </si>
  <si>
    <t xml:space="preserve">Post-dated cheques issued</t>
  </si>
  <si>
    <t xml:space="preserve">250100</t>
  </si>
  <si>
    <t xml:space="preserve">Long-term Bank Loans &amp; Facilities</t>
  </si>
  <si>
    <t xml:space="preserve">Non-current Liabilities</t>
  </si>
  <si>
    <t xml:space="preserve">Bank loan</t>
  </si>
  <si>
    <t xml:space="preserve">310100</t>
  </si>
  <si>
    <t xml:space="preserve">Paid-in Share Capital</t>
  </si>
  <si>
    <t xml:space="preserve">Equity</t>
  </si>
  <si>
    <t xml:space="preserve">Capital</t>
  </si>
  <si>
    <t xml:space="preserve">320100</t>
  </si>
  <si>
    <t xml:space="preserve">Legal Reserve</t>
  </si>
  <si>
    <t xml:space="preserve">Legal reserve</t>
  </si>
  <si>
    <t xml:space="preserve">330100</t>
  </si>
  <si>
    <t xml:space="preserve">Retained Earnings</t>
  </si>
  <si>
    <t xml:space="preserve">Prior-years results</t>
  </si>
  <si>
    <t xml:space="preserve">400003</t>
  </si>
  <si>
    <t xml:space="preserve">Basic Salary</t>
  </si>
  <si>
    <t xml:space="preserve">Expenses</t>
  </si>
  <si>
    <t xml:space="preserve">Payroll / salaries</t>
  </si>
  <si>
    <t xml:space="preserve">400016</t>
  </si>
  <si>
    <t xml:space="preserve">Office Rent</t>
  </si>
  <si>
    <t xml:space="preserve">Rent</t>
  </si>
  <si>
    <t xml:space="preserve">400017</t>
  </si>
  <si>
    <t xml:space="preserve">Warehouse Rent</t>
  </si>
  <si>
    <t xml:space="preserve">Warehouse rent</t>
  </si>
  <si>
    <t xml:space="preserve">400018</t>
  </si>
  <si>
    <t xml:space="preserve">Water &amp; Electricity</t>
  </si>
  <si>
    <t xml:space="preserve">Utilities</t>
  </si>
  <si>
    <t xml:space="preserve">400034</t>
  </si>
  <si>
    <t xml:space="preserve">Other - Advertising Expenses</t>
  </si>
  <si>
    <t xml:space="preserve">Marketing</t>
  </si>
  <si>
    <t xml:space="preserve">400036</t>
  </si>
  <si>
    <t xml:space="preserve">Write Off Inventory</t>
  </si>
  <si>
    <t xml:space="preserve">Scrap location valuation account</t>
  </si>
  <si>
    <t xml:space="preserve">400051</t>
  </si>
  <si>
    <t xml:space="preserve">Other Bank Charges</t>
  </si>
  <si>
    <t xml:space="preserve">Bank charges</t>
  </si>
  <si>
    <t xml:space="preserve">400053</t>
  </si>
  <si>
    <t xml:space="preserve">Loss on Difference on Exchange</t>
  </si>
  <si>
    <t xml:space="preserve">Exchange loss (settings)</t>
  </si>
  <si>
    <t xml:space="preserve">400064</t>
  </si>
  <si>
    <t xml:space="preserve">Depreciation of Furniture &amp; Office Equipment</t>
  </si>
  <si>
    <t xml:space="preserve">Depreciation</t>
  </si>
  <si>
    <t xml:space="preserve">Depreciation - furniture</t>
  </si>
  <si>
    <t xml:space="preserve">400065</t>
  </si>
  <si>
    <t xml:space="preserve">Depreciation of Computer Hard &amp; Soft</t>
  </si>
  <si>
    <t xml:space="preserve">Depreciation - IT</t>
  </si>
  <si>
    <t xml:space="preserve">400066</t>
  </si>
  <si>
    <t xml:space="preserve">Depreciation of Motor Vehicles</t>
  </si>
  <si>
    <t xml:space="preserve">Depreciation - vehicles</t>
  </si>
  <si>
    <t xml:space="preserve">400101</t>
  </si>
  <si>
    <t xml:space="preserve">Depreciation of Construction</t>
  </si>
  <si>
    <t xml:space="preserve">Depreciation - buildings</t>
  </si>
  <si>
    <t xml:space="preserve">400103</t>
  </si>
  <si>
    <t xml:space="preserve">Depreciation of Machine &amp; Tools</t>
  </si>
  <si>
    <t xml:space="preserve">Depreciation - machinery</t>
  </si>
  <si>
    <t xml:space="preserve">410100</t>
  </si>
  <si>
    <t xml:space="preserve">COGS - Large Home Appliances</t>
  </si>
  <si>
    <t xml:space="preserve">Cost of Revenue</t>
  </si>
  <si>
    <t xml:space="preserve">Expense (COGS) account - fridges, washers, ACs, cookers</t>
  </si>
  <si>
    <t xml:space="preserve">410200</t>
  </si>
  <si>
    <t xml:space="preserve">COGS - TVs &amp; Audio</t>
  </si>
  <si>
    <t xml:space="preserve">Expense (COGS) account - TVs &amp; Audio</t>
  </si>
  <si>
    <t xml:space="preserve">410300</t>
  </si>
  <si>
    <t xml:space="preserve">COGS - Small Kitchen &amp; Home Appliances</t>
  </si>
  <si>
    <t xml:space="preserve">Expense (COGS) account - Small Appliances</t>
  </si>
  <si>
    <t xml:space="preserve">410400</t>
  </si>
  <si>
    <t xml:space="preserve">COGS - Manufactured Products</t>
  </si>
  <si>
    <t xml:space="preserve">Expense (COGS) account - Manufactured / Raw Materials</t>
  </si>
  <si>
    <t xml:space="preserve">410500</t>
  </si>
  <si>
    <t xml:space="preserve">Cost of Installation Services</t>
  </si>
  <si>
    <t xml:space="preserve">Installation services</t>
  </si>
  <si>
    <t xml:space="preserve">410900</t>
  </si>
  <si>
    <t xml:space="preserve">Purchase Price Differences</t>
  </si>
  <si>
    <t xml:space="preserve">Price Difference account on categories</t>
  </si>
  <si>
    <t xml:space="preserve">420100</t>
  </si>
  <si>
    <t xml:space="preserve">Freight Out, Shipping &amp; Delivery Expense</t>
  </si>
  <si>
    <t xml:space="preserve">Outbound delivery costs</t>
  </si>
  <si>
    <t xml:space="preserve">500011</t>
  </si>
  <si>
    <t xml:space="preserve">Gain On Difference of Exchange</t>
  </si>
  <si>
    <t xml:space="preserve">Income</t>
  </si>
  <si>
    <t xml:space="preserve">Exchange gain (settings)</t>
  </si>
  <si>
    <t xml:space="preserve">510100</t>
  </si>
  <si>
    <t xml:space="preserve">Sales - Large Home Appliances</t>
  </si>
  <si>
    <t xml:space="preserve">Income account - fridges, washers, ACs, cookers</t>
  </si>
  <si>
    <t xml:space="preserve">510200</t>
  </si>
  <si>
    <t xml:space="preserve">Sales - TVs &amp; Audio</t>
  </si>
  <si>
    <t xml:space="preserve">Income account - TVs &amp; Audio</t>
  </si>
  <si>
    <t xml:space="preserve">510300</t>
  </si>
  <si>
    <t xml:space="preserve">Sales - Small Kitchen &amp; Home Appliances</t>
  </si>
  <si>
    <t xml:space="preserve">Income account - Small Appliances</t>
  </si>
  <si>
    <t xml:space="preserve">510400</t>
  </si>
  <si>
    <t xml:space="preserve">Sales - Manufactured Products</t>
  </si>
  <si>
    <t xml:space="preserve">Income account - Manufactured</t>
  </si>
  <si>
    <t xml:space="preserve">510500</t>
  </si>
  <si>
    <t xml:space="preserve">Revenue - Installation &amp; Maintenance Services</t>
  </si>
  <si>
    <t xml:space="preserve">Income account - services</t>
  </si>
  <si>
    <t xml:space="preserve">510900</t>
  </si>
  <si>
    <t xml:space="preserve">Sales Returns &amp; Discounts</t>
  </si>
  <si>
    <t xml:space="preserve">Contra revenue</t>
  </si>
  <si>
    <t xml:space="preserve">999001</t>
  </si>
  <si>
    <t xml:space="preserve">Cash Difference Loss</t>
  </si>
  <si>
    <t xml:space="preserve">Closing</t>
  </si>
  <si>
    <t xml:space="preserve">Cash journals / POS closing differences</t>
  </si>
  <si>
    <t xml:space="preserve">999002</t>
  </si>
  <si>
    <t xml:space="preserve">Cash Difference Gain</t>
  </si>
  <si>
    <t xml:space="preserve">999999</t>
  </si>
  <si>
    <t xml:space="preserve">Undistributed Profits/Losses</t>
  </si>
  <si>
    <t xml:space="preserve">Current Year Earnings</t>
  </si>
  <si>
    <t xml:space="preserve">Current year result (computed by Odoo)</t>
  </si>
  <si>
    <t xml:space="preserve">Opening Trial Balance - 2027-01-01</t>
  </si>
  <si>
    <t xml:space="preserve">Balances after files 24 (stock) and 27 (journal entry). Inventory lines come from Products_and_Inventory_Data.xlsx &gt; Inventory Valuation. In the import file stock is posted through 190100, which nets to zero.</t>
  </si>
  <si>
    <t xml:space="preserve">Account</t>
  </si>
  <si>
    <t xml:space="preserve">Debit (EGP)</t>
  </si>
  <si>
    <t xml:space="preserve">Credit (EGP)</t>
  </si>
  <si>
    <t xml:space="preserve">Check: Debit - Credit</t>
  </si>
  <si>
    <t xml:space="preserve">Equity split</t>
  </si>
  <si>
    <t xml:space="preserve">Paid-in capital (310100)</t>
  </si>
  <si>
    <t xml:space="preserve">Legal reserve (320100)</t>
  </si>
  <si>
    <t xml:space="preserve">Retained earnings (330100) = assets - liabilities - capital - reserve</t>
  </si>
  <si>
    <t xml:space="preserve">Total equity</t>
  </si>
  <si>
    <t xml:space="preserve">Opening Balances by Partner (Customers &amp; Vendors)</t>
  </si>
  <si>
    <t xml:space="preserve">One journal line per partner so aged receivable/payable and reconciliation work. USD amounts at the assumed opening rate.</t>
  </si>
  <si>
    <t xml:space="preserve">Partner</t>
  </si>
  <si>
    <t xml:space="preserve">Amount in Currency</t>
  </si>
  <si>
    <t xml:space="preserve">El Nour Electronics Stores</t>
  </si>
  <si>
    <t xml:space="preserve">Customer</t>
  </si>
  <si>
    <t xml:space="preserve">Al Safa Home Appliances</t>
  </si>
  <si>
    <t xml:space="preserve">Heliopolis Appliances Center</t>
  </si>
  <si>
    <t xml:space="preserve">Alex Home Center</t>
  </si>
  <si>
    <t xml:space="preserve">Bahary Electronics</t>
  </si>
  <si>
    <t xml:space="preserve">Delta Appliances Mall</t>
  </si>
  <si>
    <t xml:space="preserve">Tanta Electric Gallery</t>
  </si>
  <si>
    <t xml:space="preserve">Canal Electronics</t>
  </si>
  <si>
    <t xml:space="preserve">Assiut Home Appliances</t>
  </si>
  <si>
    <t xml:space="preserve">Sohag Electric Center</t>
  </si>
  <si>
    <t xml:space="preserve">Upper Egypt Distribution Co.</t>
  </si>
  <si>
    <t xml:space="preserve">Nile Delta Trading &amp; Distribution</t>
  </si>
  <si>
    <t xml:space="preserve">Royal Hotels Group</t>
  </si>
  <si>
    <t xml:space="preserve">Smart Homes Real Estate Development</t>
  </si>
  <si>
    <t xml:space="preserve">Delta Distribution for Home Appliances</t>
  </si>
  <si>
    <t xml:space="preserve">Vendor</t>
  </si>
  <si>
    <t xml:space="preserve">Nile Electronics Trading Co.</t>
  </si>
  <si>
    <t xml:space="preserve">Egyptian Home Industries Agency</t>
  </si>
  <si>
    <t xml:space="preserve">Egyptian Steel Sheets Co.</t>
  </si>
  <si>
    <t xml:space="preserve">Delta Plastics &amp; Rubber</t>
  </si>
  <si>
    <t xml:space="preserve">Misr Copper &amp; Cables</t>
  </si>
  <si>
    <t xml:space="preserve">Cairo Packaging Co.</t>
  </si>
  <si>
    <t xml:space="preserve">Guangzhou Coolair Appliances Co., Ltd.</t>
  </si>
  <si>
    <t xml:space="preserve">Shenzhen Brightway Electronics Co., Ltd.</t>
  </si>
  <si>
    <t xml:space="preserve">Ningbo Fanmotor Industrial Co., Ltd.</t>
  </si>
  <si>
    <t xml:space="preserve">Reconciliation with trial balance</t>
  </si>
  <si>
    <t xml:space="preserve">Per partners (net)</t>
  </si>
  <si>
    <t xml:space="preserve">Per trial balance (net)</t>
  </si>
  <si>
    <t xml:space="preserve">Difference</t>
  </si>
  <si>
    <t xml:space="preserve">110100 Trade Receivables - Retailers</t>
  </si>
  <si>
    <t xml:space="preserve">110200 Trade Receivables - Distributors &amp; Key Accounts</t>
  </si>
  <si>
    <t xml:space="preserve">110300 Notes Receivable - Cheques Under Collection</t>
  </si>
  <si>
    <t xml:space="preserve">211100 Trade Payables - Domestic Vendors</t>
  </si>
  <si>
    <t xml:space="preserve">211200 Trade Payables - Overseas Vendors</t>
  </si>
  <si>
    <t xml:space="preserve">212100 Notes Payable - Post-dated Cheques Issued</t>
  </si>
  <si>
    <t xml:space="preserve">Account numbers and IBANs are placeholders - never put real bank details on GitHub.</t>
  </si>
  <si>
    <t xml:space="preserve">Bank</t>
  </si>
  <si>
    <t xml:space="preserve">Branch</t>
  </si>
  <si>
    <t xml:space="preserve">Account Title</t>
  </si>
  <si>
    <t xml:space="preserve">Account No.</t>
  </si>
  <si>
    <t xml:space="preserve">IBAN</t>
  </si>
  <si>
    <t xml:space="preserve">Journal</t>
  </si>
  <si>
    <t xml:space="preserve">GL Account</t>
  </si>
  <si>
    <t xml:space="preserve">Purpose</t>
  </si>
  <si>
    <t xml:space="preserve">Opening (EGP)</t>
  </si>
  <si>
    <t xml:space="preserve">Opening (USD)</t>
  </si>
  <si>
    <t xml:space="preserve">Banque Misr</t>
  </si>
  <si>
    <t xml:space="preserve">Nasr City Branch</t>
  </si>
  <si>
    <t xml:space="preserve">Beitak Smart - Current</t>
  </si>
  <si>
    <t xml:space="preserve">XXXX-XXXX-0001</t>
  </si>
  <si>
    <t xml:space="preserve">EG00 XXXX XXXX XXXX XXXX XXXX 0001</t>
  </si>
  <si>
    <t xml:space="preserve">BMEG</t>
  </si>
  <si>
    <t xml:space="preserve">102101 Banque Misr - EGP Current Account</t>
  </si>
  <si>
    <t xml:space="preserve">Main EGP bank - vendor payments, salaries</t>
  </si>
  <si>
    <t xml:space="preserve">National Bank of Egypt</t>
  </si>
  <si>
    <t xml:space="preserve">Heliopolis Branch</t>
  </si>
  <si>
    <t xml:space="preserve">Beitak Smart - Operating</t>
  </si>
  <si>
    <t xml:space="preserve">XXXX-XXXX-0002</t>
  </si>
  <si>
    <t xml:space="preserve">EG00 XXXX XXXX XXXX XXXX XXXX 0002</t>
  </si>
  <si>
    <t xml:space="preserve">NBEG</t>
  </si>
  <si>
    <t xml:space="preserve">102102 National Bank of Egypt - EGP Operating Account</t>
  </si>
  <si>
    <t xml:space="preserve">Operating account - POS card settlements</t>
  </si>
  <si>
    <t xml:space="preserve">Commercial International Bank (CIB)</t>
  </si>
  <si>
    <t xml:space="preserve">Smart Village Branch</t>
  </si>
  <si>
    <t xml:space="preserve">Beitak Smart - USD</t>
  </si>
  <si>
    <t xml:space="preserve">XXXX-XXXX-0003</t>
  </si>
  <si>
    <t xml:space="preserve">EG00 XXXX XXXX XXXX XXXX XXXX 0003</t>
  </si>
  <si>
    <t xml:space="preserve">CIBUS</t>
  </si>
  <si>
    <t xml:space="preserve">102103 CIB - USD Account</t>
  </si>
  <si>
    <t xml:space="preserve">USD account - overseas vendor payments (TT)</t>
  </si>
  <si>
    <t xml:space="preserve">QNB Alahli</t>
  </si>
  <si>
    <t xml:space="preserve">New Cairo Branch</t>
  </si>
  <si>
    <t xml:space="preserve">Beitak Smart - Collection</t>
  </si>
  <si>
    <t xml:space="preserve">XXXX-XXXX-0004</t>
  </si>
  <si>
    <t xml:space="preserve">EG00 XXXX XXXX XXXX XXXX XXXX 0004</t>
  </si>
  <si>
    <t xml:space="preserve">QNBEG</t>
  </si>
  <si>
    <t xml:space="preserve">102104 QNB Alahli - EGP Collection Account</t>
  </si>
  <si>
    <t xml:space="preserve">Customer collections and cheque deposits</t>
  </si>
  <si>
    <t xml:space="preserve">Cash Safes and Daily Cash Cycle</t>
  </si>
  <si>
    <t xml:space="preserve">4 cash journals. Maximum balance = amount above which cash is deposited to the bank the same day.</t>
  </si>
  <si>
    <t xml:space="preserve">Safe</t>
  </si>
  <si>
    <t xml:space="preserve">Location</t>
  </si>
  <si>
    <t xml:space="preserve">Custodian</t>
  </si>
  <si>
    <t xml:space="preserve">Max Balance (EGP)</t>
  </si>
  <si>
    <t xml:space="preserve">Main Safe - Cairo HO</t>
  </si>
  <si>
    <t xml:space="preserve">Head office, Nasr City</t>
  </si>
  <si>
    <t xml:space="preserve">CSHHO</t>
  </si>
  <si>
    <t xml:space="preserve">101101 Main Safe - Cairo Head Office</t>
  </si>
  <si>
    <t xml:space="preserve">Alexandria Warehouse</t>
  </si>
  <si>
    <t xml:space="preserve">CSHAL</t>
  </si>
  <si>
    <t xml:space="preserve">101102 Branch Safe - Alexandria</t>
  </si>
  <si>
    <t xml:space="preserve">PETTY</t>
  </si>
  <si>
    <t xml:space="preserve">101103 Petty Cash - Sales &amp; Operations</t>
  </si>
  <si>
    <t xml:space="preserve">Showroom Cash Register</t>
  </si>
  <si>
    <t xml:space="preserve">POSCS</t>
  </si>
  <si>
    <t xml:space="preserve">101104 Showroom Cash Register - Cairo (POS)</t>
  </si>
  <si>
    <t xml:space="preserve">Daily cash cycle</t>
  </si>
  <si>
    <t xml:space="preserve">Step</t>
  </si>
  <si>
    <t xml:space="preserve">Description</t>
  </si>
  <si>
    <t xml:space="preserve">1</t>
  </si>
  <si>
    <t xml:space="preserve">Opening count</t>
  </si>
  <si>
    <t xml:space="preserve">Custodian counts cash and confirms the opening balance in Odoo (cash journal / POS session).</t>
  </si>
  <si>
    <t xml:space="preserve">2</t>
  </si>
  <si>
    <t xml:space="preserve">Receipts</t>
  </si>
  <si>
    <t xml:space="preserve">Customer cash receipts registered as payments on the cash journal (or POS cash payments).</t>
  </si>
  <si>
    <t xml:space="preserve">3</t>
  </si>
  <si>
    <t xml:space="preserve">Payments</t>
  </si>
  <si>
    <t xml:space="preserve">Small expenses paid from petty cash are recorded with receipts attached; approval by Senior Accountant.</t>
  </si>
  <si>
    <t xml:space="preserve">4</t>
  </si>
  <si>
    <t xml:space="preserve">End-of-day count</t>
  </si>
  <si>
    <t xml:space="preserve">Physical count vs Odoo balance; differences posted to 999001 / 999002.</t>
  </si>
  <si>
    <t xml:space="preserve">5</t>
  </si>
  <si>
    <t xml:space="preserve">Bank deposit</t>
  </si>
  <si>
    <t xml:space="preserve">Cash above the maximum balance is deposited next morning; recorded as internal transfer (100001 Liquidity Transfer).</t>
  </si>
  <si>
    <t xml:space="preserve">6</t>
  </si>
  <si>
    <t xml:space="preserve">Review</t>
  </si>
  <si>
    <t xml:space="preserve">Treasurer reconciles; Finance Manager reviews the cash journal weekly.</t>
  </si>
  <si>
    <t xml:space="preserve">Chart of Journals</t>
  </si>
  <si>
    <t xml:space="preserve">Imported with 02_Journals.xlsx. Sales, purchase, miscellaneous, exchange, inventory valuation and POS journals are created by Odoo.</t>
  </si>
  <si>
    <t xml:space="preserve">Default Account</t>
  </si>
  <si>
    <t xml:space="preserve">Banque Misr - EGP</t>
  </si>
  <si>
    <t xml:space="preserve">National Bank of Egypt - EGP</t>
  </si>
  <si>
    <t xml:space="preserve">CIB - USD</t>
  </si>
  <si>
    <t xml:space="preserve">QNB Alahli - EGP</t>
  </si>
  <si>
    <t xml:space="preserve">Cash</t>
  </si>
  <si>
    <t xml:space="preserve">Head office safe</t>
  </si>
  <si>
    <t xml:space="preserve">Alexandria branch safe</t>
  </si>
  <si>
    <t xml:space="preserve">Small operating expenses</t>
  </si>
  <si>
    <t xml:space="preserve">Cash payment method of the Cairo Showroom POS</t>
  </si>
  <si>
    <t xml:space="preserve">Opening Balances</t>
  </si>
  <si>
    <t xml:space="preserve">OPEN</t>
  </si>
  <si>
    <t xml:space="preserve">General</t>
  </si>
  <si>
    <t xml:space="preserve">Opening journal entry only</t>
  </si>
  <si>
    <t xml:space="preserve">Customer Invoices</t>
  </si>
  <si>
    <t xml:space="preserve">INV</t>
  </si>
  <si>
    <t xml:space="preserve">Income accounts by category</t>
  </si>
  <si>
    <t xml:space="preserve">Created by Odoo</t>
  </si>
  <si>
    <t xml:space="preserve">Vendor Bills</t>
  </si>
  <si>
    <t xml:space="preserve">BILL</t>
  </si>
  <si>
    <t xml:space="preserve">Expense / stock interim accounts</t>
  </si>
  <si>
    <t xml:space="preserve">Miscellaneous Operations</t>
  </si>
  <si>
    <t xml:space="preserve">MISC</t>
  </si>
  <si>
    <t xml:space="preserve">Created by Odoo - accruals, adjustments</t>
  </si>
  <si>
    <t xml:space="preserve">Inventory Valuation</t>
  </si>
  <si>
    <t xml:space="preserve">STJ</t>
  </si>
  <si>
    <t xml:space="preserve">Created by Odoo - automated stock entries</t>
  </si>
  <si>
    <t xml:space="preserve">POSS</t>
  </si>
  <si>
    <t xml:space="preserve">Created by the POS app</t>
  </si>
  <si>
    <t xml:space="preserve">Tax Chart</t>
  </si>
  <si>
    <t xml:space="preserve">VAT 14% and WHT 1% / 2% / 3% as agreed by the team. Rates, categories and thresholds must be reviewed by a tax specialist before go-live.</t>
  </si>
  <si>
    <t xml:space="preserve">Tax</t>
  </si>
  <si>
    <t xml:space="preserve">Use</t>
  </si>
  <si>
    <t xml:space="preserve">Rate</t>
  </si>
  <si>
    <t xml:space="preserve">Applies to</t>
  </si>
  <si>
    <t xml:space="preserve">Tax Account</t>
  </si>
  <si>
    <t xml:space="preserve">Note</t>
  </si>
  <si>
    <t xml:space="preserve">VAT 14% (Sales)</t>
  </si>
  <si>
    <t xml:space="preserve">Goods and services sold</t>
  </si>
  <si>
    <t xml:space="preserve">201017 VAT Output</t>
  </si>
  <si>
    <t xml:space="preserve">Egypt localization</t>
  </si>
  <si>
    <t xml:space="preserve">Default customer tax on all products</t>
  </si>
  <si>
    <t xml:space="preserve">VAT 14% (Purchases)</t>
  </si>
  <si>
    <t xml:space="preserve">Purchases</t>
  </si>
  <si>
    <t xml:space="preserve">Goods and services bought</t>
  </si>
  <si>
    <t xml:space="preserve">104041 VAT Input</t>
  </si>
  <si>
    <t xml:space="preserve">Default vendor tax on all products</t>
  </si>
  <si>
    <t xml:space="preserve">VAT Exempt 0%</t>
  </si>
  <si>
    <t xml:space="preserve">Sales / Purchases</t>
  </si>
  <si>
    <t xml:space="preserve">Exempt items</t>
  </si>
  <si>
    <t xml:space="preserve">Not used by Beitak Smart products</t>
  </si>
  <si>
    <t xml:space="preserve">WHT 1%</t>
  </si>
  <si>
    <t xml:space="preserve">Category per Egyptian WHT schedule - to be confirmed by tax specialist</t>
  </si>
  <si>
    <t xml:space="preserve">201020 WHTax Payable</t>
  </si>
  <si>
    <t xml:space="preserve">Egypt localization (verify)</t>
  </si>
  <si>
    <t xml:space="preserve">If missing, duplicate a localization WHT tax and set the rate</t>
  </si>
  <si>
    <t xml:space="preserve">WHT 2%</t>
  </si>
  <si>
    <t xml:space="preserve">WHT 3%</t>
  </si>
  <si>
    <t xml:space="preserve">Analytic Plans and Accounts</t>
  </si>
  <si>
    <t xml:space="preserve">Two plans so P&amp;L can be read by business line and by branch (03 and 04 import files).</t>
  </si>
  <si>
    <t xml:space="preserve">Plan</t>
  </si>
  <si>
    <t xml:space="preserve">Analytic Account</t>
  </si>
  <si>
    <t xml:space="preserve">Business Line</t>
  </si>
  <si>
    <t xml:space="preserve">Trading - Home Appliances</t>
  </si>
  <si>
    <t xml:space="preserve">TRD</t>
  </si>
  <si>
    <t xml:space="preserve">Profitability by business line</t>
  </si>
  <si>
    <t xml:space="preserve">MFG</t>
  </si>
  <si>
    <t xml:space="preserve">Services - Installation</t>
  </si>
  <si>
    <t xml:space="preserve">SRV</t>
  </si>
  <si>
    <t xml:space="preserve">Cairo HO &amp; Main Warehouse</t>
  </si>
  <si>
    <t xml:space="preserve">CAI</t>
  </si>
  <si>
    <t xml:space="preserve">Profitability by branch / warehouse</t>
  </si>
  <si>
    <t xml:space="preserve">Alexandria Branch</t>
  </si>
  <si>
    <t xml:space="preserve">ALX</t>
  </si>
  <si>
    <t xml:space="preserve">Mansoura Branch</t>
  </si>
  <si>
    <t xml:space="preserve">MAN</t>
  </si>
  <si>
    <t xml:space="preserve">Ismailia Branch</t>
  </si>
  <si>
    <t xml:space="preserve">ISM</t>
  </si>
  <si>
    <t xml:space="preserve">Asyut Branch</t>
  </si>
  <si>
    <t xml:space="preserve">ASY</t>
  </si>
  <si>
    <t xml:space="preserve">SHW</t>
  </si>
  <si>
    <t xml:space="preserve">Currencies and Rates</t>
  </si>
  <si>
    <t xml:space="preserve">Rate entered in Accounting &gt; Configuration &gt; Currencies. Project assumption - replace with the official CBE rate if needed.</t>
  </si>
  <si>
    <t xml:space="preserve">Role</t>
  </si>
  <si>
    <t xml:space="preserve">Rate Date</t>
  </si>
  <si>
    <t xml:space="preserve">EGP per Unit</t>
  </si>
  <si>
    <t xml:space="preserve">Used By</t>
  </si>
  <si>
    <t xml:space="preserve">All local transactions</t>
  </si>
  <si>
    <t xml:space="preserve">Active foreign currency</t>
  </si>
  <si>
    <t xml:space="preserve">CIB USD journal, overseas vendors (Guangzhou, Shenzhen, Ningbo), vendor prices of imported items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</si>
</sst>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0;\(#,##0.00\);\-"/>
    <numFmt numFmtId="167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EE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0"/>
      <rgbColor rgb="FF660066"/>
      <rgbColor rgb="FFFF8080"/>
      <rgbColor rgb="FF0066CC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Organization_and_Accounting_Charts.xlsx" TargetMode="External"/><Relationship Id="rId2" Type="http://schemas.openxmlformats.org/officeDocument/2006/relationships/hyperlink" Target="Organization_and_Accounting_Charts.xlsx" TargetMode="External"/><Relationship Id="rId3" Type="http://schemas.openxmlformats.org/officeDocument/2006/relationships/hyperlink" Target="Organization_and_Accounting_Charts.xlsx" TargetMode="External"/><Relationship Id="rId4" Type="http://schemas.openxmlformats.org/officeDocument/2006/relationships/hyperlink" Target="Organization_and_Accounting_Charts.xlsx" TargetMode="External"/><Relationship Id="rId5" Type="http://schemas.openxmlformats.org/officeDocument/2006/relationships/hyperlink" Target="Organization_and_Accounting_Charts.xlsx" TargetMode="External"/><Relationship Id="rId6" Type="http://schemas.openxmlformats.org/officeDocument/2006/relationships/hyperlink" Target="Organization_and_Accounting_Charts.xlsx" TargetMode="External"/><Relationship Id="rId7" Type="http://schemas.openxmlformats.org/officeDocument/2006/relationships/hyperlink" Target="Organization_and_Accounting_Charts.xlsx" TargetMode="External"/><Relationship Id="rId8" Type="http://schemas.openxmlformats.org/officeDocument/2006/relationships/hyperlink" Target="Organization_and_Accounting_Charts.xlsx" TargetMode="External"/><Relationship Id="rId9" Type="http://schemas.openxmlformats.org/officeDocument/2006/relationships/hyperlink" Target="Organization_and_Accounting_Charts.xlsx" TargetMode="External"/><Relationship Id="rId10" Type="http://schemas.openxmlformats.org/officeDocument/2006/relationships/hyperlink" Target="Organization_and_Accounting_Charts.xlsx" TargetMode="External"/><Relationship Id="rId11" Type="http://schemas.openxmlformats.org/officeDocument/2006/relationships/hyperlink" Target="Organization_and_Accounting_Charts.xlsx" TargetMode="External"/><Relationship Id="rId12" Type="http://schemas.openxmlformats.org/officeDocument/2006/relationships/hyperlink" Target="Organization_and_Accounting_Charts.xlsx" TargetMode="External"/><Relationship Id="rId13" Type="http://schemas.openxmlformats.org/officeDocument/2006/relationships/hyperlink" Target="Organization_and_Accounting_Chart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3" min="3" style="0" width="4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5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5" t="s">
        <v>25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5" t="s">
        <v>28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5" t="s">
        <v>31</v>
      </c>
    </row>
    <row r="14" customFormat="false" ht="15" hidden="false" customHeight="false" outlineLevel="0" collapsed="false">
      <c r="A14" s="4" t="s">
        <v>32</v>
      </c>
      <c r="B14" s="5" t="s">
        <v>33</v>
      </c>
      <c r="C14" s="5" t="s">
        <v>34</v>
      </c>
    </row>
    <row r="15" customFormat="false" ht="15" hidden="false" customHeight="false" outlineLevel="0" collapsed="false">
      <c r="A15" s="4" t="s">
        <v>35</v>
      </c>
      <c r="B15" s="5" t="s">
        <v>36</v>
      </c>
      <c r="C15" s="5" t="s">
        <v>37</v>
      </c>
    </row>
    <row r="16" customFormat="false" ht="15" hidden="false" customHeight="false" outlineLevel="0" collapsed="false">
      <c r="A16" s="4" t="s">
        <v>38</v>
      </c>
      <c r="B16" s="5" t="s">
        <v>39</v>
      </c>
      <c r="C16" s="5" t="s">
        <v>40</v>
      </c>
    </row>
    <row r="17" customFormat="false" ht="15" hidden="false" customHeight="false" outlineLevel="0" collapsed="false">
      <c r="A17" s="4" t="s">
        <v>41</v>
      </c>
      <c r="B17" s="5" t="s">
        <v>42</v>
      </c>
      <c r="C17" s="5" t="s">
        <v>43</v>
      </c>
    </row>
    <row r="19" customFormat="false" ht="15" hidden="false" customHeight="false" outlineLevel="0" collapsed="false">
      <c r="A19" s="6" t="s">
        <v>44</v>
      </c>
    </row>
    <row r="20" customFormat="false" ht="23.85" hidden="false" customHeight="false" outlineLevel="0" collapsed="false">
      <c r="A20" s="5" t="s">
        <v>45</v>
      </c>
      <c r="B20" s="7" t="s">
        <v>46</v>
      </c>
    </row>
    <row r="21" customFormat="false" ht="23.85" hidden="false" customHeight="false" outlineLevel="0" collapsed="false">
      <c r="A21" s="5" t="s">
        <v>47</v>
      </c>
      <c r="B21" s="7" t="s">
        <v>48</v>
      </c>
    </row>
    <row r="22" customFormat="false" ht="15" hidden="false" customHeight="false" outlineLevel="0" collapsed="false">
      <c r="A22" s="5" t="s">
        <v>49</v>
      </c>
      <c r="B22" s="7" t="s">
        <v>50</v>
      </c>
    </row>
    <row r="23" customFormat="false" ht="15" hidden="false" customHeight="false" outlineLevel="0" collapsed="false">
      <c r="A23" s="5" t="s">
        <v>51</v>
      </c>
      <c r="B23" s="7" t="s">
        <v>52</v>
      </c>
    </row>
    <row r="24" customFormat="false" ht="15" hidden="false" customHeight="false" outlineLevel="0" collapsed="false">
      <c r="A24" s="5" t="s">
        <v>53</v>
      </c>
      <c r="B24" s="7" t="s">
        <v>54</v>
      </c>
    </row>
    <row r="25" customFormat="false" ht="15" hidden="false" customHeight="false" outlineLevel="0" collapsed="false">
      <c r="A25" s="5" t="s">
        <v>55</v>
      </c>
      <c r="B25" s="7" t="s">
        <v>56</v>
      </c>
    </row>
    <row r="26" customFormat="false" ht="23.85" hidden="false" customHeight="false" outlineLevel="0" collapsed="false">
      <c r="A26" s="5" t="s">
        <v>57</v>
      </c>
      <c r="B26" s="7" t="s">
        <v>58</v>
      </c>
    </row>
    <row r="27" customFormat="false" ht="23.85" hidden="false" customHeight="false" outlineLevel="0" collapsed="false">
      <c r="A27" s="5" t="s">
        <v>35</v>
      </c>
      <c r="B27" s="7" t="s">
        <v>59</v>
      </c>
    </row>
    <row r="28" customFormat="false" ht="15" hidden="false" customHeight="false" outlineLevel="0" collapsed="false">
      <c r="A28" s="5" t="s">
        <v>60</v>
      </c>
      <c r="B28" s="7" t="s">
        <v>61</v>
      </c>
    </row>
  </sheetData>
  <hyperlinks>
    <hyperlink ref="A5" r:id="rId1" location="'Company%20Setup'!A1" display="Company Setup"/>
    <hyperlink ref="A6" r:id="rId2" location="'Organization%20Chart'!A1" display="Organization Chart"/>
    <hyperlink ref="A7" r:id="rId3" location="'Employees'!A1" display="Employees"/>
    <hyperlink ref="A8" r:id="rId4" location="'Users%20per%20Department'!A1" display="Users per Department"/>
    <hyperlink ref="A9" r:id="rId5" location="'Chart%20of%20Accounts'!A1" display="Chart of Accounts"/>
    <hyperlink ref="A10" r:id="rId6" location="'Opening%20Trial%20Balance'!A1" display="Opening Trial Balance"/>
    <hyperlink ref="A11" r:id="rId7" location="'Opening%20Partner%20Balances'!A1" display="Opening Partner Balances"/>
    <hyperlink ref="A12" r:id="rId8" location="'Bank%20Details'!A1" display="Bank Details"/>
    <hyperlink ref="A13" r:id="rId9" location="'Cash%20Safes'!A1" display="Cash Safes"/>
    <hyperlink ref="A14" r:id="rId10" location="'Journals'!A1" display="Journals"/>
    <hyperlink ref="A15" r:id="rId11" location="'Taxes'!A1" display="Taxes"/>
    <hyperlink ref="A16" r:id="rId12" location="'Analytic%20Accounting'!A1" display="Analytic Accounting"/>
    <hyperlink ref="A17" r:id="rId13" location="'Currencies'!A1" display="Currenc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8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9" t="s">
        <v>64</v>
      </c>
      <c r="B4" s="9" t="s">
        <v>65</v>
      </c>
    </row>
    <row r="5" customFormat="false" ht="15" hidden="false" customHeight="false" outlineLevel="0" collapsed="false">
      <c r="A5" s="10" t="s">
        <v>66</v>
      </c>
      <c r="B5" s="10" t="s">
        <v>67</v>
      </c>
    </row>
    <row r="6" customFormat="false" ht="15" hidden="false" customHeight="false" outlineLevel="0" collapsed="false">
      <c r="A6" s="10" t="s">
        <v>68</v>
      </c>
      <c r="B6" s="10" t="s">
        <v>69</v>
      </c>
    </row>
    <row r="7" customFormat="false" ht="15" hidden="false" customHeight="false" outlineLevel="0" collapsed="false">
      <c r="A7" s="10" t="s">
        <v>70</v>
      </c>
      <c r="B7" s="11" t="s">
        <v>71</v>
      </c>
    </row>
    <row r="8" customFormat="false" ht="15" hidden="false" customHeight="false" outlineLevel="0" collapsed="false">
      <c r="A8" s="10" t="s">
        <v>72</v>
      </c>
      <c r="B8" s="10" t="s">
        <v>73</v>
      </c>
    </row>
    <row r="9" customFormat="false" ht="15" hidden="false" customHeight="false" outlineLevel="0" collapsed="false">
      <c r="A9" s="10" t="s">
        <v>74</v>
      </c>
      <c r="B9" s="10" t="s">
        <v>75</v>
      </c>
    </row>
    <row r="10" customFormat="false" ht="15" hidden="false" customHeight="false" outlineLevel="0" collapsed="false">
      <c r="A10" s="10" t="s">
        <v>76</v>
      </c>
      <c r="B10" s="11" t="s">
        <v>77</v>
      </c>
    </row>
    <row r="11" customFormat="false" ht="15" hidden="false" customHeight="false" outlineLevel="0" collapsed="false">
      <c r="A11" s="10" t="s">
        <v>78</v>
      </c>
      <c r="B11" s="10" t="s">
        <v>79</v>
      </c>
    </row>
    <row r="12" customFormat="false" ht="15" hidden="false" customHeight="false" outlineLevel="0" collapsed="false">
      <c r="A12" s="10" t="s">
        <v>80</v>
      </c>
      <c r="B12" s="10" t="s">
        <v>81</v>
      </c>
    </row>
    <row r="13" customFormat="false" ht="15" hidden="false" customHeight="false" outlineLevel="0" collapsed="false">
      <c r="A13" s="10" t="s">
        <v>82</v>
      </c>
      <c r="B13" s="10" t="s">
        <v>83</v>
      </c>
    </row>
    <row r="14" customFormat="false" ht="15" hidden="false" customHeight="false" outlineLevel="0" collapsed="false">
      <c r="A14" s="10" t="s">
        <v>84</v>
      </c>
      <c r="B14" s="10" t="s">
        <v>85</v>
      </c>
    </row>
    <row r="15" customFormat="false" ht="15" hidden="false" customHeight="false" outlineLevel="0" collapsed="false">
      <c r="A15" s="10" t="s">
        <v>86</v>
      </c>
      <c r="B15" s="10" t="s">
        <v>87</v>
      </c>
    </row>
    <row r="16" customFormat="false" ht="15" hidden="false" customHeight="false" outlineLevel="0" collapsed="false">
      <c r="A16" s="10" t="s">
        <v>88</v>
      </c>
      <c r="B16" s="10" t="s">
        <v>89</v>
      </c>
    </row>
    <row r="17" customFormat="false" ht="15" hidden="false" customHeight="false" outlineLevel="0" collapsed="false">
      <c r="A17" s="10" t="s">
        <v>90</v>
      </c>
      <c r="B17" s="10" t="s">
        <v>91</v>
      </c>
    </row>
    <row r="18" customFormat="false" ht="15" hidden="false" customHeight="false" outlineLevel="0" collapsed="false">
      <c r="A18" s="10" t="s">
        <v>92</v>
      </c>
      <c r="B18" s="10" t="s">
        <v>93</v>
      </c>
    </row>
    <row r="19" customFormat="false" ht="15" hidden="false" customHeight="false" outlineLevel="0" collapsed="false">
      <c r="A19" s="10" t="s">
        <v>45</v>
      </c>
      <c r="B19" s="10" t="s">
        <v>94</v>
      </c>
    </row>
    <row r="20" customFormat="false" ht="23.85" hidden="false" customHeight="false" outlineLevel="0" collapsed="false">
      <c r="A20" s="10" t="s">
        <v>95</v>
      </c>
      <c r="B20" s="11" t="s">
        <v>96</v>
      </c>
    </row>
    <row r="21" customFormat="false" ht="15" hidden="false" customHeight="false" outlineLevel="0" collapsed="false">
      <c r="A21" s="10" t="s">
        <v>97</v>
      </c>
      <c r="B21" s="1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31"/>
    <col collapsed="false" customWidth="true" hidden="false" outlineLevel="0" max="4" min="4" style="0" width="47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37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8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9" t="s">
        <v>101</v>
      </c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  <c r="H4" s="9" t="s">
        <v>108</v>
      </c>
      <c r="I4" s="9" t="s">
        <v>109</v>
      </c>
    </row>
    <row r="5" customFormat="false" ht="15" hidden="false" customHeight="false" outlineLevel="0" collapsed="false">
      <c r="A5" s="10" t="s">
        <v>110</v>
      </c>
      <c r="B5" s="10" t="s">
        <v>111</v>
      </c>
      <c r="C5" s="10" t="s">
        <v>112</v>
      </c>
      <c r="D5" s="10" t="s">
        <v>112</v>
      </c>
      <c r="E5" s="10" t="s">
        <v>113</v>
      </c>
      <c r="F5" s="10" t="s">
        <v>114</v>
      </c>
      <c r="G5" s="10" t="s">
        <v>115</v>
      </c>
      <c r="H5" s="10" t="s">
        <v>116</v>
      </c>
      <c r="I5" s="10" t="s">
        <v>117</v>
      </c>
    </row>
    <row r="6" customFormat="false" ht="15" hidden="false" customHeight="false" outlineLevel="0" collapsed="false">
      <c r="A6" s="10" t="s">
        <v>118</v>
      </c>
      <c r="B6" s="10" t="s">
        <v>119</v>
      </c>
      <c r="C6" s="10" t="s">
        <v>120</v>
      </c>
      <c r="D6" s="10" t="s">
        <v>120</v>
      </c>
      <c r="E6" s="10" t="s">
        <v>121</v>
      </c>
      <c r="F6" s="10" t="s">
        <v>111</v>
      </c>
      <c r="G6" s="10" t="s">
        <v>115</v>
      </c>
      <c r="H6" s="10" t="s">
        <v>122</v>
      </c>
      <c r="I6" s="10" t="s">
        <v>117</v>
      </c>
    </row>
    <row r="7" customFormat="false" ht="15" hidden="false" customHeight="false" outlineLevel="0" collapsed="false">
      <c r="A7" s="10" t="s">
        <v>123</v>
      </c>
      <c r="B7" s="10" t="s">
        <v>124</v>
      </c>
      <c r="C7" s="10" t="s">
        <v>125</v>
      </c>
      <c r="D7" s="10" t="s">
        <v>125</v>
      </c>
      <c r="E7" s="10" t="s">
        <v>126</v>
      </c>
      <c r="F7" s="10" t="s">
        <v>111</v>
      </c>
      <c r="G7" s="10" t="s">
        <v>115</v>
      </c>
      <c r="H7" s="10" t="s">
        <v>127</v>
      </c>
      <c r="I7" s="10" t="s">
        <v>117</v>
      </c>
    </row>
    <row r="8" customFormat="false" ht="15" hidden="false" customHeight="false" outlineLevel="0" collapsed="false">
      <c r="A8" s="10" t="s">
        <v>128</v>
      </c>
      <c r="B8" s="10" t="s">
        <v>129</v>
      </c>
      <c r="C8" s="10" t="s">
        <v>130</v>
      </c>
      <c r="D8" s="10" t="s">
        <v>130</v>
      </c>
      <c r="E8" s="10" t="s">
        <v>131</v>
      </c>
      <c r="F8" s="10" t="s">
        <v>111</v>
      </c>
      <c r="G8" s="10" t="s">
        <v>115</v>
      </c>
      <c r="H8" s="10" t="s">
        <v>132</v>
      </c>
      <c r="I8" s="10" t="s">
        <v>117</v>
      </c>
    </row>
    <row r="9" customFormat="false" ht="15" hidden="false" customHeight="false" outlineLevel="0" collapsed="false">
      <c r="A9" s="10" t="s">
        <v>133</v>
      </c>
      <c r="B9" s="10" t="s">
        <v>134</v>
      </c>
      <c r="C9" s="10" t="s">
        <v>135</v>
      </c>
      <c r="D9" s="10" t="s">
        <v>135</v>
      </c>
      <c r="E9" s="10" t="s">
        <v>136</v>
      </c>
      <c r="F9" s="10" t="s">
        <v>111</v>
      </c>
      <c r="G9" s="10" t="s">
        <v>137</v>
      </c>
      <c r="H9" s="10" t="s">
        <v>138</v>
      </c>
      <c r="I9" s="10" t="s">
        <v>117</v>
      </c>
    </row>
    <row r="10" customFormat="false" ht="15" hidden="false" customHeight="false" outlineLevel="0" collapsed="false">
      <c r="A10" s="10" t="s">
        <v>139</v>
      </c>
      <c r="B10" s="10" t="s">
        <v>140</v>
      </c>
      <c r="C10" s="10" t="s">
        <v>141</v>
      </c>
      <c r="D10" s="10" t="s">
        <v>141</v>
      </c>
      <c r="E10" s="10" t="s">
        <v>142</v>
      </c>
      <c r="F10" s="10" t="s">
        <v>111</v>
      </c>
      <c r="G10" s="10" t="s">
        <v>137</v>
      </c>
      <c r="H10" s="10" t="s">
        <v>143</v>
      </c>
      <c r="I10" s="10" t="s">
        <v>117</v>
      </c>
    </row>
    <row r="11" customFormat="false" ht="15" hidden="false" customHeight="false" outlineLevel="0" collapsed="false">
      <c r="A11" s="10" t="s">
        <v>144</v>
      </c>
      <c r="B11" s="10" t="s">
        <v>145</v>
      </c>
      <c r="C11" s="10" t="s">
        <v>146</v>
      </c>
      <c r="D11" s="10" t="s">
        <v>146</v>
      </c>
      <c r="E11" s="10" t="s">
        <v>147</v>
      </c>
      <c r="F11" s="10" t="s">
        <v>111</v>
      </c>
      <c r="G11" s="10" t="s">
        <v>115</v>
      </c>
      <c r="H11" s="10" t="s">
        <v>148</v>
      </c>
      <c r="I11" s="10" t="s">
        <v>117</v>
      </c>
    </row>
    <row r="12" customFormat="false" ht="15" hidden="false" customHeight="false" outlineLevel="0" collapsed="false">
      <c r="A12" s="10" t="s">
        <v>149</v>
      </c>
      <c r="B12" s="10" t="s">
        <v>150</v>
      </c>
      <c r="C12" s="10" t="s">
        <v>151</v>
      </c>
      <c r="D12" s="10" t="s">
        <v>151</v>
      </c>
      <c r="E12" s="10" t="s">
        <v>152</v>
      </c>
      <c r="F12" s="10" t="s">
        <v>111</v>
      </c>
      <c r="G12" s="10" t="s">
        <v>115</v>
      </c>
      <c r="H12" s="10" t="s">
        <v>153</v>
      </c>
      <c r="I12" s="10" t="s">
        <v>117</v>
      </c>
    </row>
    <row r="13" customFormat="false" ht="15" hidden="false" customHeight="false" outlineLevel="0" collapsed="false">
      <c r="A13" s="10" t="s">
        <v>154</v>
      </c>
      <c r="B13" s="10" t="s">
        <v>155</v>
      </c>
      <c r="C13" s="10" t="s">
        <v>156</v>
      </c>
      <c r="D13" s="10" t="s">
        <v>156</v>
      </c>
      <c r="E13" s="10" t="s">
        <v>121</v>
      </c>
      <c r="F13" s="10" t="s">
        <v>119</v>
      </c>
      <c r="G13" s="10" t="s">
        <v>115</v>
      </c>
      <c r="H13" s="10" t="s">
        <v>157</v>
      </c>
      <c r="I13" s="10" t="s">
        <v>117</v>
      </c>
    </row>
    <row r="14" customFormat="false" ht="15" hidden="false" customHeight="false" outlineLevel="0" collapsed="false">
      <c r="A14" s="10" t="s">
        <v>158</v>
      </c>
      <c r="B14" s="10" t="s">
        <v>159</v>
      </c>
      <c r="C14" s="10" t="s">
        <v>160</v>
      </c>
      <c r="D14" s="10" t="s">
        <v>161</v>
      </c>
      <c r="E14" s="10" t="s">
        <v>121</v>
      </c>
      <c r="F14" s="10" t="s">
        <v>119</v>
      </c>
      <c r="G14" s="10" t="s">
        <v>115</v>
      </c>
      <c r="H14" s="10" t="s">
        <v>162</v>
      </c>
      <c r="I14" s="10" t="s">
        <v>117</v>
      </c>
    </row>
    <row r="15" customFormat="false" ht="15" hidden="false" customHeight="false" outlineLevel="0" collapsed="false">
      <c r="A15" s="10" t="s">
        <v>163</v>
      </c>
      <c r="B15" s="10" t="s">
        <v>164</v>
      </c>
      <c r="C15" s="10" t="s">
        <v>165</v>
      </c>
      <c r="D15" s="10" t="s">
        <v>165</v>
      </c>
      <c r="E15" s="10" t="s">
        <v>121</v>
      </c>
      <c r="F15" s="10" t="s">
        <v>119</v>
      </c>
      <c r="G15" s="10" t="s">
        <v>115</v>
      </c>
      <c r="H15" s="10" t="s">
        <v>166</v>
      </c>
      <c r="I15" s="10" t="s">
        <v>117</v>
      </c>
    </row>
    <row r="16" customFormat="false" ht="15" hidden="false" customHeight="false" outlineLevel="0" collapsed="false">
      <c r="A16" s="10" t="s">
        <v>167</v>
      </c>
      <c r="B16" s="10" t="s">
        <v>168</v>
      </c>
      <c r="C16" s="10" t="s">
        <v>169</v>
      </c>
      <c r="D16" s="10" t="s">
        <v>169</v>
      </c>
      <c r="E16" s="10" t="s">
        <v>126</v>
      </c>
      <c r="F16" s="10" t="s">
        <v>124</v>
      </c>
      <c r="G16" s="10" t="s">
        <v>115</v>
      </c>
      <c r="H16" s="10" t="s">
        <v>170</v>
      </c>
      <c r="I16" s="10" t="s">
        <v>117</v>
      </c>
    </row>
    <row r="17" customFormat="false" ht="15" hidden="false" customHeight="false" outlineLevel="0" collapsed="false">
      <c r="A17" s="10" t="s">
        <v>171</v>
      </c>
      <c r="B17" s="10" t="s">
        <v>172</v>
      </c>
      <c r="C17" s="10" t="s">
        <v>173</v>
      </c>
      <c r="D17" s="10" t="s">
        <v>174</v>
      </c>
      <c r="E17" s="10" t="s">
        <v>126</v>
      </c>
      <c r="F17" s="10" t="s">
        <v>124</v>
      </c>
      <c r="G17" s="10" t="s">
        <v>115</v>
      </c>
      <c r="H17" s="10" t="s">
        <v>175</v>
      </c>
      <c r="I17" s="10" t="s">
        <v>117</v>
      </c>
    </row>
    <row r="18" customFormat="false" ht="15" hidden="false" customHeight="false" outlineLevel="0" collapsed="false">
      <c r="A18" s="10" t="s">
        <v>176</v>
      </c>
      <c r="B18" s="10" t="s">
        <v>177</v>
      </c>
      <c r="C18" s="10" t="s">
        <v>178</v>
      </c>
      <c r="D18" s="10" t="s">
        <v>178</v>
      </c>
      <c r="E18" s="10" t="s">
        <v>131</v>
      </c>
      <c r="F18" s="10" t="s">
        <v>129</v>
      </c>
      <c r="G18" s="10" t="s">
        <v>115</v>
      </c>
      <c r="H18" s="10" t="s">
        <v>179</v>
      </c>
      <c r="I18" s="10" t="s">
        <v>117</v>
      </c>
    </row>
    <row r="19" customFormat="false" ht="15" hidden="false" customHeight="false" outlineLevel="0" collapsed="false">
      <c r="A19" s="10" t="s">
        <v>180</v>
      </c>
      <c r="B19" s="10" t="s">
        <v>181</v>
      </c>
      <c r="C19" s="10" t="s">
        <v>182</v>
      </c>
      <c r="D19" s="10" t="s">
        <v>183</v>
      </c>
      <c r="E19" s="10" t="s">
        <v>131</v>
      </c>
      <c r="F19" s="10" t="s">
        <v>129</v>
      </c>
      <c r="G19" s="10" t="s">
        <v>115</v>
      </c>
      <c r="H19" s="10" t="s">
        <v>184</v>
      </c>
      <c r="I19" s="10" t="s">
        <v>117</v>
      </c>
    </row>
    <row r="20" customFormat="false" ht="15" hidden="false" customHeight="false" outlineLevel="0" collapsed="false">
      <c r="A20" s="10" t="s">
        <v>185</v>
      </c>
      <c r="B20" s="10" t="s">
        <v>186</v>
      </c>
      <c r="C20" s="10" t="s">
        <v>182</v>
      </c>
      <c r="D20" s="10" t="s">
        <v>187</v>
      </c>
      <c r="E20" s="10" t="s">
        <v>131</v>
      </c>
      <c r="F20" s="10" t="s">
        <v>129</v>
      </c>
      <c r="G20" s="10" t="s">
        <v>188</v>
      </c>
      <c r="H20" s="10" t="s">
        <v>189</v>
      </c>
      <c r="I20" s="10" t="s">
        <v>117</v>
      </c>
    </row>
    <row r="21" customFormat="false" ht="15" hidden="false" customHeight="false" outlineLevel="0" collapsed="false">
      <c r="A21" s="10" t="s">
        <v>190</v>
      </c>
      <c r="B21" s="10" t="s">
        <v>191</v>
      </c>
      <c r="C21" s="10" t="s">
        <v>182</v>
      </c>
      <c r="D21" s="10" t="s">
        <v>192</v>
      </c>
      <c r="E21" s="10" t="s">
        <v>131</v>
      </c>
      <c r="F21" s="10" t="s">
        <v>129</v>
      </c>
      <c r="G21" s="10" t="s">
        <v>193</v>
      </c>
      <c r="H21" s="10" t="s">
        <v>194</v>
      </c>
      <c r="I21" s="10" t="s">
        <v>117</v>
      </c>
    </row>
    <row r="22" customFormat="false" ht="15" hidden="false" customHeight="false" outlineLevel="0" collapsed="false">
      <c r="A22" s="10" t="s">
        <v>195</v>
      </c>
      <c r="B22" s="10" t="s">
        <v>196</v>
      </c>
      <c r="C22" s="10" t="s">
        <v>182</v>
      </c>
      <c r="D22" s="10" t="s">
        <v>197</v>
      </c>
      <c r="E22" s="10" t="s">
        <v>131</v>
      </c>
      <c r="F22" s="10" t="s">
        <v>129</v>
      </c>
      <c r="G22" s="10" t="s">
        <v>198</v>
      </c>
      <c r="H22" s="10" t="s">
        <v>199</v>
      </c>
      <c r="I22" s="10" t="s">
        <v>117</v>
      </c>
    </row>
    <row r="23" customFormat="false" ht="15" hidden="false" customHeight="false" outlineLevel="0" collapsed="false">
      <c r="A23" s="10" t="s">
        <v>200</v>
      </c>
      <c r="B23" s="10" t="s">
        <v>201</v>
      </c>
      <c r="C23" s="10" t="s">
        <v>182</v>
      </c>
      <c r="D23" s="10" t="s">
        <v>202</v>
      </c>
      <c r="E23" s="10" t="s">
        <v>131</v>
      </c>
      <c r="F23" s="10" t="s">
        <v>129</v>
      </c>
      <c r="G23" s="10" t="s">
        <v>203</v>
      </c>
      <c r="H23" s="10" t="s">
        <v>204</v>
      </c>
      <c r="I23" s="10" t="s">
        <v>117</v>
      </c>
    </row>
    <row r="24" customFormat="false" ht="15" hidden="false" customHeight="false" outlineLevel="0" collapsed="false">
      <c r="A24" s="10" t="s">
        <v>205</v>
      </c>
      <c r="B24" s="10" t="s">
        <v>206</v>
      </c>
      <c r="C24" s="10" t="s">
        <v>207</v>
      </c>
      <c r="D24" s="10" t="s">
        <v>207</v>
      </c>
      <c r="E24" s="10" t="s">
        <v>208</v>
      </c>
      <c r="F24" s="10" t="s">
        <v>129</v>
      </c>
      <c r="G24" s="10" t="s">
        <v>209</v>
      </c>
      <c r="H24" s="10" t="s">
        <v>210</v>
      </c>
      <c r="I24" s="10" t="s">
        <v>117</v>
      </c>
    </row>
    <row r="25" customFormat="false" ht="15" hidden="false" customHeight="false" outlineLevel="0" collapsed="false">
      <c r="A25" s="10" t="s">
        <v>211</v>
      </c>
      <c r="B25" s="10" t="s">
        <v>212</v>
      </c>
      <c r="C25" s="10" t="s">
        <v>213</v>
      </c>
      <c r="D25" s="10" t="s">
        <v>213</v>
      </c>
      <c r="E25" s="10" t="s">
        <v>208</v>
      </c>
      <c r="F25" s="10" t="s">
        <v>206</v>
      </c>
      <c r="G25" s="10" t="s">
        <v>209</v>
      </c>
      <c r="H25" s="10" t="s">
        <v>214</v>
      </c>
      <c r="I25" s="10" t="s">
        <v>117</v>
      </c>
    </row>
    <row r="26" customFormat="false" ht="15" hidden="false" customHeight="false" outlineLevel="0" collapsed="false">
      <c r="A26" s="10" t="s">
        <v>215</v>
      </c>
      <c r="B26" s="10" t="s">
        <v>216</v>
      </c>
      <c r="C26" s="10" t="s">
        <v>217</v>
      </c>
      <c r="D26" s="10" t="s">
        <v>217</v>
      </c>
      <c r="E26" s="10" t="s">
        <v>208</v>
      </c>
      <c r="F26" s="10" t="s">
        <v>206</v>
      </c>
      <c r="G26" s="10" t="s">
        <v>209</v>
      </c>
      <c r="H26" s="10" t="s">
        <v>218</v>
      </c>
      <c r="I26" s="10" t="s">
        <v>117</v>
      </c>
    </row>
    <row r="27" customFormat="false" ht="15" hidden="false" customHeight="false" outlineLevel="0" collapsed="false">
      <c r="A27" s="10" t="s">
        <v>219</v>
      </c>
      <c r="B27" s="10" t="s">
        <v>220</v>
      </c>
      <c r="C27" s="10" t="s">
        <v>221</v>
      </c>
      <c r="D27" s="10" t="s">
        <v>222</v>
      </c>
      <c r="E27" s="10" t="s">
        <v>136</v>
      </c>
      <c r="F27" s="10" t="s">
        <v>134</v>
      </c>
      <c r="G27" s="10" t="s">
        <v>137</v>
      </c>
      <c r="H27" s="10" t="s">
        <v>223</v>
      </c>
      <c r="I27" s="10" t="s">
        <v>117</v>
      </c>
    </row>
    <row r="28" customFormat="false" ht="15" hidden="false" customHeight="false" outlineLevel="0" collapsed="false">
      <c r="A28" s="10" t="s">
        <v>224</v>
      </c>
      <c r="B28" s="10" t="s">
        <v>225</v>
      </c>
      <c r="C28" s="10" t="s">
        <v>221</v>
      </c>
      <c r="D28" s="10" t="s">
        <v>226</v>
      </c>
      <c r="E28" s="10" t="s">
        <v>136</v>
      </c>
      <c r="F28" s="10" t="s">
        <v>134</v>
      </c>
      <c r="G28" s="10" t="s">
        <v>188</v>
      </c>
      <c r="H28" s="10" t="s">
        <v>227</v>
      </c>
      <c r="I28" s="10" t="s">
        <v>117</v>
      </c>
    </row>
    <row r="29" customFormat="false" ht="15" hidden="false" customHeight="false" outlineLevel="0" collapsed="false">
      <c r="A29" s="10" t="s">
        <v>228</v>
      </c>
      <c r="B29" s="10" t="s">
        <v>229</v>
      </c>
      <c r="C29" s="10" t="s">
        <v>221</v>
      </c>
      <c r="D29" s="10" t="s">
        <v>230</v>
      </c>
      <c r="E29" s="10" t="s">
        <v>136</v>
      </c>
      <c r="F29" s="10" t="s">
        <v>134</v>
      </c>
      <c r="G29" s="10" t="s">
        <v>193</v>
      </c>
      <c r="H29" s="10" t="s">
        <v>231</v>
      </c>
      <c r="I29" s="10" t="s">
        <v>117</v>
      </c>
    </row>
    <row r="30" customFormat="false" ht="15" hidden="false" customHeight="false" outlineLevel="0" collapsed="false">
      <c r="A30" s="10" t="s">
        <v>232</v>
      </c>
      <c r="B30" s="10" t="s">
        <v>233</v>
      </c>
      <c r="C30" s="10" t="s">
        <v>221</v>
      </c>
      <c r="D30" s="10" t="s">
        <v>234</v>
      </c>
      <c r="E30" s="10" t="s">
        <v>136</v>
      </c>
      <c r="F30" s="10" t="s">
        <v>134</v>
      </c>
      <c r="G30" s="10" t="s">
        <v>198</v>
      </c>
      <c r="H30" s="10" t="s">
        <v>235</v>
      </c>
      <c r="I30" s="10" t="s">
        <v>117</v>
      </c>
    </row>
    <row r="31" customFormat="false" ht="15" hidden="false" customHeight="false" outlineLevel="0" collapsed="false">
      <c r="A31" s="10" t="s">
        <v>236</v>
      </c>
      <c r="B31" s="10" t="s">
        <v>237</v>
      </c>
      <c r="C31" s="10" t="s">
        <v>221</v>
      </c>
      <c r="D31" s="10" t="s">
        <v>238</v>
      </c>
      <c r="E31" s="10" t="s">
        <v>136</v>
      </c>
      <c r="F31" s="10" t="s">
        <v>134</v>
      </c>
      <c r="G31" s="10" t="s">
        <v>203</v>
      </c>
      <c r="H31" s="10" t="s">
        <v>239</v>
      </c>
      <c r="I31" s="10" t="s">
        <v>117</v>
      </c>
    </row>
    <row r="32" customFormat="false" ht="15" hidden="false" customHeight="false" outlineLevel="0" collapsed="false">
      <c r="A32" s="10" t="s">
        <v>240</v>
      </c>
      <c r="B32" s="10" t="s">
        <v>241</v>
      </c>
      <c r="C32" s="10" t="s">
        <v>242</v>
      </c>
      <c r="D32" s="10" t="s">
        <v>242</v>
      </c>
      <c r="E32" s="10" t="s">
        <v>136</v>
      </c>
      <c r="F32" s="10" t="s">
        <v>134</v>
      </c>
      <c r="G32" s="10" t="s">
        <v>137</v>
      </c>
      <c r="H32" s="10" t="s">
        <v>243</v>
      </c>
      <c r="I32" s="10" t="s">
        <v>244</v>
      </c>
    </row>
    <row r="33" customFormat="false" ht="15" hidden="false" customHeight="false" outlineLevel="0" collapsed="false">
      <c r="A33" s="10" t="s">
        <v>245</v>
      </c>
      <c r="B33" s="10" t="s">
        <v>246</v>
      </c>
      <c r="C33" s="10" t="s">
        <v>242</v>
      </c>
      <c r="D33" s="10" t="s">
        <v>242</v>
      </c>
      <c r="E33" s="10" t="s">
        <v>136</v>
      </c>
      <c r="F33" s="10" t="s">
        <v>134</v>
      </c>
      <c r="G33" s="10" t="s">
        <v>137</v>
      </c>
      <c r="H33" s="10" t="s">
        <v>247</v>
      </c>
      <c r="I33" s="10" t="s">
        <v>244</v>
      </c>
    </row>
    <row r="34" customFormat="false" ht="15" hidden="false" customHeight="false" outlineLevel="0" collapsed="false">
      <c r="A34" s="10" t="s">
        <v>248</v>
      </c>
      <c r="B34" s="10" t="s">
        <v>249</v>
      </c>
      <c r="C34" s="10" t="s">
        <v>250</v>
      </c>
      <c r="D34" s="10" t="s">
        <v>250</v>
      </c>
      <c r="E34" s="10" t="s">
        <v>142</v>
      </c>
      <c r="F34" s="10" t="s">
        <v>140</v>
      </c>
      <c r="G34" s="10" t="s">
        <v>137</v>
      </c>
      <c r="H34" s="10" t="s">
        <v>251</v>
      </c>
      <c r="I34" s="10" t="s">
        <v>117</v>
      </c>
    </row>
    <row r="35" customFormat="false" ht="15" hidden="false" customHeight="false" outlineLevel="0" collapsed="false">
      <c r="A35" s="10" t="s">
        <v>252</v>
      </c>
      <c r="B35" s="10" t="s">
        <v>253</v>
      </c>
      <c r="C35" s="10" t="s">
        <v>254</v>
      </c>
      <c r="D35" s="10" t="s">
        <v>254</v>
      </c>
      <c r="E35" s="10" t="s">
        <v>142</v>
      </c>
      <c r="F35" s="10" t="s">
        <v>249</v>
      </c>
      <c r="G35" s="10" t="s">
        <v>137</v>
      </c>
      <c r="H35" s="10" t="s">
        <v>255</v>
      </c>
      <c r="I35" s="10" t="s">
        <v>244</v>
      </c>
    </row>
    <row r="36" customFormat="false" ht="15" hidden="false" customHeight="false" outlineLevel="0" collapsed="false">
      <c r="A36" s="10" t="s">
        <v>256</v>
      </c>
      <c r="B36" s="10" t="s">
        <v>257</v>
      </c>
      <c r="C36" s="10" t="s">
        <v>254</v>
      </c>
      <c r="D36" s="10" t="s">
        <v>254</v>
      </c>
      <c r="E36" s="10" t="s">
        <v>142</v>
      </c>
      <c r="F36" s="10" t="s">
        <v>249</v>
      </c>
      <c r="G36" s="10" t="s">
        <v>137</v>
      </c>
      <c r="H36" s="10" t="s">
        <v>258</v>
      </c>
      <c r="I36" s="10" t="s">
        <v>244</v>
      </c>
    </row>
    <row r="37" customFormat="false" ht="15" hidden="false" customHeight="false" outlineLevel="0" collapsed="false">
      <c r="A37" s="10" t="s">
        <v>259</v>
      </c>
      <c r="B37" s="10" t="s">
        <v>260</v>
      </c>
      <c r="C37" s="10" t="s">
        <v>261</v>
      </c>
      <c r="D37" s="10" t="s">
        <v>261</v>
      </c>
      <c r="E37" s="10" t="s">
        <v>142</v>
      </c>
      <c r="F37" s="10" t="s">
        <v>249</v>
      </c>
      <c r="G37" s="10" t="s">
        <v>137</v>
      </c>
      <c r="H37" s="10" t="s">
        <v>262</v>
      </c>
      <c r="I37" s="10" t="s">
        <v>244</v>
      </c>
    </row>
    <row r="38" customFormat="false" ht="15" hidden="false" customHeight="false" outlineLevel="0" collapsed="false">
      <c r="A38" s="10" t="s">
        <v>263</v>
      </c>
      <c r="B38" s="10" t="s">
        <v>264</v>
      </c>
      <c r="C38" s="10" t="s">
        <v>265</v>
      </c>
      <c r="D38" s="10" t="s">
        <v>265</v>
      </c>
      <c r="E38" s="10" t="s">
        <v>142</v>
      </c>
      <c r="F38" s="10" t="s">
        <v>249</v>
      </c>
      <c r="G38" s="10" t="s">
        <v>137</v>
      </c>
      <c r="H38" s="10" t="s">
        <v>266</v>
      </c>
      <c r="I38" s="10" t="s">
        <v>244</v>
      </c>
    </row>
    <row r="39" customFormat="false" ht="15" hidden="false" customHeight="false" outlineLevel="0" collapsed="false">
      <c r="A39" s="10" t="s">
        <v>267</v>
      </c>
      <c r="B39" s="10" t="s">
        <v>268</v>
      </c>
      <c r="C39" s="10" t="s">
        <v>269</v>
      </c>
      <c r="D39" s="10" t="s">
        <v>269</v>
      </c>
      <c r="E39" s="10" t="s">
        <v>270</v>
      </c>
      <c r="F39" s="10" t="s">
        <v>140</v>
      </c>
      <c r="G39" s="10" t="s">
        <v>137</v>
      </c>
      <c r="H39" s="10" t="s">
        <v>271</v>
      </c>
      <c r="I39" s="10" t="s">
        <v>117</v>
      </c>
    </row>
    <row r="40" customFormat="false" ht="15" hidden="false" customHeight="false" outlineLevel="0" collapsed="false">
      <c r="A40" s="10" t="s">
        <v>272</v>
      </c>
      <c r="B40" s="10" t="s">
        <v>273</v>
      </c>
      <c r="C40" s="10" t="s">
        <v>274</v>
      </c>
      <c r="D40" s="10" t="s">
        <v>274</v>
      </c>
      <c r="E40" s="10" t="s">
        <v>147</v>
      </c>
      <c r="F40" s="10" t="s">
        <v>145</v>
      </c>
      <c r="G40" s="10" t="s">
        <v>115</v>
      </c>
      <c r="H40" s="10" t="s">
        <v>275</v>
      </c>
      <c r="I40" s="1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7"/>
    <col collapsed="false" customWidth="true" hidden="false" outlineLevel="0" max="3" min="3" style="0" width="23"/>
    <col collapsed="false" customWidth="true" hidden="false" outlineLevel="0" max="4" min="4" style="0" width="37"/>
    <col collapsed="false" customWidth="true" hidden="false" outlineLevel="0" max="6" min="5" style="0" width="26"/>
    <col collapsed="false" customWidth="true" hidden="false" outlineLevel="0" max="9" min="7" style="0" width="15"/>
    <col collapsed="false" customWidth="true" hidden="false" outlineLevel="0" max="10" min="10" style="0" width="21"/>
    <col collapsed="false" customWidth="true" hidden="false" outlineLevel="0" max="12" min="11" style="0" width="15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8" t="s">
        <v>276</v>
      </c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9" t="s">
        <v>278</v>
      </c>
      <c r="B4" s="9" t="s">
        <v>104</v>
      </c>
      <c r="C4" s="9" t="s">
        <v>105</v>
      </c>
      <c r="D4" s="9" t="s">
        <v>279</v>
      </c>
      <c r="E4" s="9" t="s">
        <v>131</v>
      </c>
      <c r="F4" s="9" t="s">
        <v>280</v>
      </c>
      <c r="G4" s="9" t="s">
        <v>281</v>
      </c>
      <c r="H4" s="9" t="s">
        <v>282</v>
      </c>
      <c r="I4" s="9" t="s">
        <v>283</v>
      </c>
      <c r="J4" s="9" t="s">
        <v>284</v>
      </c>
      <c r="K4" s="9" t="s">
        <v>285</v>
      </c>
      <c r="L4" s="9" t="s">
        <v>11</v>
      </c>
      <c r="M4" s="9" t="s">
        <v>286</v>
      </c>
    </row>
    <row r="5" customFormat="false" ht="15" hidden="false" customHeight="false" outlineLevel="0" collapsed="false">
      <c r="A5" s="10" t="s">
        <v>111</v>
      </c>
      <c r="B5" s="10" t="s">
        <v>112</v>
      </c>
      <c r="C5" s="10" t="s">
        <v>113</v>
      </c>
      <c r="D5" s="10" t="s">
        <v>116</v>
      </c>
      <c r="E5" s="10" t="s">
        <v>287</v>
      </c>
      <c r="F5" s="10" t="s">
        <v>287</v>
      </c>
      <c r="G5" s="10" t="s">
        <v>287</v>
      </c>
      <c r="H5" s="10" t="s">
        <v>287</v>
      </c>
      <c r="I5" s="10" t="s">
        <v>287</v>
      </c>
      <c r="J5" s="10" t="s">
        <v>288</v>
      </c>
      <c r="K5" s="10" t="s">
        <v>287</v>
      </c>
      <c r="L5" s="10" t="s">
        <v>289</v>
      </c>
      <c r="M5" s="10" t="s">
        <v>114</v>
      </c>
    </row>
    <row r="6" customFormat="false" ht="15" hidden="false" customHeight="false" outlineLevel="0" collapsed="false">
      <c r="A6" s="10" t="s">
        <v>119</v>
      </c>
      <c r="B6" s="10" t="s">
        <v>120</v>
      </c>
      <c r="C6" s="10" t="s">
        <v>121</v>
      </c>
      <c r="D6" s="10" t="s">
        <v>122</v>
      </c>
      <c r="E6" s="10" t="s">
        <v>290</v>
      </c>
      <c r="F6" s="10" t="s">
        <v>114</v>
      </c>
      <c r="G6" s="10" t="s">
        <v>278</v>
      </c>
      <c r="H6" s="10" t="s">
        <v>278</v>
      </c>
      <c r="I6" s="10" t="s">
        <v>114</v>
      </c>
      <c r="J6" s="10" t="s">
        <v>287</v>
      </c>
      <c r="K6" s="10" t="s">
        <v>278</v>
      </c>
      <c r="L6" s="10" t="s">
        <v>114</v>
      </c>
      <c r="M6" s="10" t="s">
        <v>114</v>
      </c>
    </row>
    <row r="7" customFormat="false" ht="15" hidden="false" customHeight="false" outlineLevel="0" collapsed="false">
      <c r="A7" s="10" t="s">
        <v>124</v>
      </c>
      <c r="B7" s="10" t="s">
        <v>125</v>
      </c>
      <c r="C7" s="10" t="s">
        <v>126</v>
      </c>
      <c r="D7" s="10" t="s">
        <v>127</v>
      </c>
      <c r="E7" s="10" t="s">
        <v>114</v>
      </c>
      <c r="F7" s="10" t="s">
        <v>114</v>
      </c>
      <c r="G7" s="10" t="s">
        <v>287</v>
      </c>
      <c r="H7" s="10" t="s">
        <v>278</v>
      </c>
      <c r="I7" s="10" t="s">
        <v>114</v>
      </c>
      <c r="J7" s="10" t="s">
        <v>291</v>
      </c>
      <c r="K7" s="10" t="s">
        <v>114</v>
      </c>
      <c r="L7" s="10" t="s">
        <v>114</v>
      </c>
      <c r="M7" s="10" t="s">
        <v>114</v>
      </c>
    </row>
    <row r="8" customFormat="false" ht="15" hidden="false" customHeight="false" outlineLevel="0" collapsed="false">
      <c r="A8" s="10" t="s">
        <v>129</v>
      </c>
      <c r="B8" s="10" t="s">
        <v>130</v>
      </c>
      <c r="C8" s="10" t="s">
        <v>131</v>
      </c>
      <c r="D8" s="10" t="s">
        <v>132</v>
      </c>
      <c r="E8" s="10" t="s">
        <v>287</v>
      </c>
      <c r="F8" s="10" t="s">
        <v>287</v>
      </c>
      <c r="G8" s="10" t="s">
        <v>114</v>
      </c>
      <c r="H8" s="10" t="s">
        <v>278</v>
      </c>
      <c r="I8" s="10" t="s">
        <v>114</v>
      </c>
      <c r="J8" s="10" t="s">
        <v>114</v>
      </c>
      <c r="K8" s="10" t="s">
        <v>287</v>
      </c>
      <c r="L8" s="10" t="s">
        <v>114</v>
      </c>
      <c r="M8" s="10" t="s">
        <v>114</v>
      </c>
    </row>
    <row r="9" customFormat="false" ht="15" hidden="false" customHeight="false" outlineLevel="0" collapsed="false">
      <c r="A9" s="10" t="s">
        <v>134</v>
      </c>
      <c r="B9" s="10" t="s">
        <v>135</v>
      </c>
      <c r="C9" s="10" t="s">
        <v>136</v>
      </c>
      <c r="D9" s="10" t="s">
        <v>138</v>
      </c>
      <c r="E9" s="10" t="s">
        <v>114</v>
      </c>
      <c r="F9" s="10" t="s">
        <v>114</v>
      </c>
      <c r="G9" s="10" t="s">
        <v>278</v>
      </c>
      <c r="H9" s="10" t="s">
        <v>287</v>
      </c>
      <c r="I9" s="10" t="s">
        <v>278</v>
      </c>
      <c r="J9" s="10" t="s">
        <v>114</v>
      </c>
      <c r="K9" s="10" t="s">
        <v>114</v>
      </c>
      <c r="L9" s="10" t="s">
        <v>114</v>
      </c>
      <c r="M9" s="10" t="s">
        <v>114</v>
      </c>
    </row>
    <row r="10" customFormat="false" ht="15" hidden="false" customHeight="false" outlineLevel="0" collapsed="false">
      <c r="A10" s="10" t="s">
        <v>140</v>
      </c>
      <c r="B10" s="10" t="s">
        <v>141</v>
      </c>
      <c r="C10" s="10" t="s">
        <v>142</v>
      </c>
      <c r="D10" s="10" t="s">
        <v>143</v>
      </c>
      <c r="E10" s="10" t="s">
        <v>114</v>
      </c>
      <c r="F10" s="10" t="s">
        <v>114</v>
      </c>
      <c r="G10" s="10" t="s">
        <v>114</v>
      </c>
      <c r="H10" s="10" t="s">
        <v>278</v>
      </c>
      <c r="I10" s="10" t="s">
        <v>287</v>
      </c>
      <c r="J10" s="10" t="s">
        <v>114</v>
      </c>
      <c r="K10" s="10" t="s">
        <v>114</v>
      </c>
      <c r="L10" s="10" t="s">
        <v>114</v>
      </c>
      <c r="M10" s="10" t="s">
        <v>114</v>
      </c>
    </row>
    <row r="11" customFormat="false" ht="15" hidden="false" customHeight="false" outlineLevel="0" collapsed="false">
      <c r="A11" s="10" t="s">
        <v>145</v>
      </c>
      <c r="B11" s="10" t="s">
        <v>146</v>
      </c>
      <c r="C11" s="10" t="s">
        <v>147</v>
      </c>
      <c r="D11" s="10" t="s">
        <v>148</v>
      </c>
      <c r="E11" s="10" t="s">
        <v>114</v>
      </c>
      <c r="F11" s="10" t="s">
        <v>114</v>
      </c>
      <c r="G11" s="10" t="s">
        <v>114</v>
      </c>
      <c r="H11" s="10" t="s">
        <v>114</v>
      </c>
      <c r="I11" s="10" t="s">
        <v>114</v>
      </c>
      <c r="J11" s="10" t="s">
        <v>114</v>
      </c>
      <c r="K11" s="10" t="s">
        <v>114</v>
      </c>
      <c r="L11" s="10" t="s">
        <v>287</v>
      </c>
      <c r="M11" s="10" t="s">
        <v>114</v>
      </c>
    </row>
    <row r="12" customFormat="false" ht="15" hidden="false" customHeight="false" outlineLevel="0" collapsed="false">
      <c r="A12" s="10" t="s">
        <v>150</v>
      </c>
      <c r="B12" s="10" t="s">
        <v>151</v>
      </c>
      <c r="C12" s="10" t="s">
        <v>152</v>
      </c>
      <c r="D12" s="10" t="s">
        <v>153</v>
      </c>
      <c r="E12" s="10" t="s">
        <v>287</v>
      </c>
      <c r="F12" s="10" t="s">
        <v>287</v>
      </c>
      <c r="G12" s="10" t="s">
        <v>287</v>
      </c>
      <c r="H12" s="10" t="s">
        <v>287</v>
      </c>
      <c r="I12" s="10" t="s">
        <v>287</v>
      </c>
      <c r="J12" s="10" t="s">
        <v>287</v>
      </c>
      <c r="K12" s="10" t="s">
        <v>287</v>
      </c>
      <c r="L12" s="10" t="s">
        <v>287</v>
      </c>
      <c r="M12" s="10" t="s">
        <v>292</v>
      </c>
    </row>
    <row r="13" customFormat="false" ht="15" hidden="false" customHeight="false" outlineLevel="0" collapsed="false">
      <c r="A13" s="10" t="s">
        <v>155</v>
      </c>
      <c r="B13" s="10" t="s">
        <v>156</v>
      </c>
      <c r="C13" s="10" t="s">
        <v>121</v>
      </c>
      <c r="D13" s="10" t="s">
        <v>157</v>
      </c>
      <c r="E13" s="10" t="s">
        <v>114</v>
      </c>
      <c r="F13" s="10" t="s">
        <v>114</v>
      </c>
      <c r="G13" s="10" t="s">
        <v>278</v>
      </c>
      <c r="H13" s="10" t="s">
        <v>114</v>
      </c>
      <c r="I13" s="10" t="s">
        <v>114</v>
      </c>
      <c r="J13" s="10" t="s">
        <v>160</v>
      </c>
      <c r="K13" s="10" t="s">
        <v>114</v>
      </c>
      <c r="L13" s="10" t="s">
        <v>114</v>
      </c>
      <c r="M13" s="10" t="s">
        <v>114</v>
      </c>
    </row>
    <row r="14" customFormat="false" ht="15" hidden="false" customHeight="false" outlineLevel="0" collapsed="false">
      <c r="A14" s="10" t="s">
        <v>159</v>
      </c>
      <c r="B14" s="10" t="s">
        <v>161</v>
      </c>
      <c r="C14" s="10" t="s">
        <v>121</v>
      </c>
      <c r="D14" s="10" t="s">
        <v>162</v>
      </c>
      <c r="E14" s="10" t="s">
        <v>114</v>
      </c>
      <c r="F14" s="10" t="s">
        <v>114</v>
      </c>
      <c r="G14" s="10" t="s">
        <v>278</v>
      </c>
      <c r="H14" s="10" t="s">
        <v>114</v>
      </c>
      <c r="I14" s="10" t="s">
        <v>114</v>
      </c>
      <c r="J14" s="10" t="s">
        <v>160</v>
      </c>
      <c r="K14" s="10" t="s">
        <v>114</v>
      </c>
      <c r="L14" s="10" t="s">
        <v>114</v>
      </c>
      <c r="M14" s="10" t="s">
        <v>114</v>
      </c>
    </row>
    <row r="15" customFormat="false" ht="15" hidden="false" customHeight="false" outlineLevel="0" collapsed="false">
      <c r="A15" s="10" t="s">
        <v>164</v>
      </c>
      <c r="B15" s="10" t="s">
        <v>165</v>
      </c>
      <c r="C15" s="10" t="s">
        <v>121</v>
      </c>
      <c r="D15" s="10" t="s">
        <v>166</v>
      </c>
      <c r="E15" s="10" t="s">
        <v>114</v>
      </c>
      <c r="F15" s="10" t="s">
        <v>114</v>
      </c>
      <c r="G15" s="10" t="s">
        <v>114</v>
      </c>
      <c r="H15" s="10" t="s">
        <v>114</v>
      </c>
      <c r="I15" s="10" t="s">
        <v>114</v>
      </c>
      <c r="J15" s="10" t="s">
        <v>291</v>
      </c>
      <c r="K15" s="10" t="s">
        <v>278</v>
      </c>
      <c r="L15" s="10" t="s">
        <v>114</v>
      </c>
      <c r="M15" s="10" t="s">
        <v>114</v>
      </c>
    </row>
    <row r="16" customFormat="false" ht="15" hidden="false" customHeight="false" outlineLevel="0" collapsed="false">
      <c r="A16" s="10" t="s">
        <v>168</v>
      </c>
      <c r="B16" s="10" t="s">
        <v>169</v>
      </c>
      <c r="C16" s="10" t="s">
        <v>126</v>
      </c>
      <c r="D16" s="10" t="s">
        <v>170</v>
      </c>
      <c r="E16" s="10" t="s">
        <v>114</v>
      </c>
      <c r="F16" s="10" t="s">
        <v>114</v>
      </c>
      <c r="G16" s="10" t="s">
        <v>278</v>
      </c>
      <c r="H16" s="10" t="s">
        <v>278</v>
      </c>
      <c r="I16" s="10" t="s">
        <v>114</v>
      </c>
      <c r="J16" s="10" t="s">
        <v>114</v>
      </c>
      <c r="K16" s="10" t="s">
        <v>114</v>
      </c>
      <c r="L16" s="10" t="s">
        <v>114</v>
      </c>
      <c r="M16" s="10" t="s">
        <v>114</v>
      </c>
    </row>
    <row r="17" customFormat="false" ht="15" hidden="false" customHeight="false" outlineLevel="0" collapsed="false">
      <c r="A17" s="10" t="s">
        <v>172</v>
      </c>
      <c r="B17" s="10" t="s">
        <v>174</v>
      </c>
      <c r="C17" s="10" t="s">
        <v>126</v>
      </c>
      <c r="D17" s="10" t="s">
        <v>175</v>
      </c>
      <c r="E17" s="10" t="s">
        <v>114</v>
      </c>
      <c r="F17" s="10" t="s">
        <v>114</v>
      </c>
      <c r="G17" s="10" t="s">
        <v>278</v>
      </c>
      <c r="H17" s="10" t="s">
        <v>278</v>
      </c>
      <c r="I17" s="10" t="s">
        <v>114</v>
      </c>
      <c r="J17" s="10" t="s">
        <v>114</v>
      </c>
      <c r="K17" s="10" t="s">
        <v>114</v>
      </c>
      <c r="L17" s="10" t="s">
        <v>114</v>
      </c>
      <c r="M17" s="10" t="s">
        <v>114</v>
      </c>
    </row>
    <row r="18" customFormat="false" ht="15" hidden="false" customHeight="false" outlineLevel="0" collapsed="false">
      <c r="A18" s="10" t="s">
        <v>177</v>
      </c>
      <c r="B18" s="10" t="s">
        <v>178</v>
      </c>
      <c r="C18" s="10" t="s">
        <v>131</v>
      </c>
      <c r="D18" s="10" t="s">
        <v>179</v>
      </c>
      <c r="E18" s="10" t="s">
        <v>290</v>
      </c>
      <c r="F18" s="10" t="s">
        <v>290</v>
      </c>
      <c r="G18" s="10" t="s">
        <v>114</v>
      </c>
      <c r="H18" s="10" t="s">
        <v>114</v>
      </c>
      <c r="I18" s="10" t="s">
        <v>114</v>
      </c>
      <c r="J18" s="10" t="s">
        <v>114</v>
      </c>
      <c r="K18" s="10" t="s">
        <v>114</v>
      </c>
      <c r="L18" s="10" t="s">
        <v>114</v>
      </c>
      <c r="M18" s="10" t="s">
        <v>114</v>
      </c>
    </row>
    <row r="19" customFormat="false" ht="15" hidden="false" customHeight="false" outlineLevel="0" collapsed="false">
      <c r="A19" s="10" t="s">
        <v>181</v>
      </c>
      <c r="B19" s="10" t="s">
        <v>183</v>
      </c>
      <c r="C19" s="10" t="s">
        <v>131</v>
      </c>
      <c r="D19" s="10" t="s">
        <v>184</v>
      </c>
      <c r="E19" s="10" t="s">
        <v>293</v>
      </c>
      <c r="F19" s="10" t="s">
        <v>293</v>
      </c>
      <c r="G19" s="10" t="s">
        <v>114</v>
      </c>
      <c r="H19" s="10" t="s">
        <v>114</v>
      </c>
      <c r="I19" s="10" t="s">
        <v>114</v>
      </c>
      <c r="J19" s="10" t="s">
        <v>114</v>
      </c>
      <c r="K19" s="10" t="s">
        <v>114</v>
      </c>
      <c r="L19" s="10" t="s">
        <v>114</v>
      </c>
      <c r="M19" s="10" t="s">
        <v>114</v>
      </c>
    </row>
    <row r="20" customFormat="false" ht="15" hidden="false" customHeight="false" outlineLevel="0" collapsed="false">
      <c r="A20" s="10" t="s">
        <v>186</v>
      </c>
      <c r="B20" s="10" t="s">
        <v>187</v>
      </c>
      <c r="C20" s="10" t="s">
        <v>131</v>
      </c>
      <c r="D20" s="10" t="s">
        <v>189</v>
      </c>
      <c r="E20" s="10" t="s">
        <v>293</v>
      </c>
      <c r="F20" s="10" t="s">
        <v>293</v>
      </c>
      <c r="G20" s="10" t="s">
        <v>114</v>
      </c>
      <c r="H20" s="10" t="s">
        <v>114</v>
      </c>
      <c r="I20" s="10" t="s">
        <v>114</v>
      </c>
      <c r="J20" s="10" t="s">
        <v>114</v>
      </c>
      <c r="K20" s="10" t="s">
        <v>114</v>
      </c>
      <c r="L20" s="10" t="s">
        <v>114</v>
      </c>
      <c r="M20" s="10" t="s">
        <v>114</v>
      </c>
    </row>
    <row r="21" customFormat="false" ht="15" hidden="false" customHeight="false" outlineLevel="0" collapsed="false">
      <c r="A21" s="10" t="s">
        <v>191</v>
      </c>
      <c r="B21" s="10" t="s">
        <v>192</v>
      </c>
      <c r="C21" s="10" t="s">
        <v>131</v>
      </c>
      <c r="D21" s="10" t="s">
        <v>194</v>
      </c>
      <c r="E21" s="10" t="s">
        <v>293</v>
      </c>
      <c r="F21" s="10" t="s">
        <v>293</v>
      </c>
      <c r="G21" s="10" t="s">
        <v>114</v>
      </c>
      <c r="H21" s="10" t="s">
        <v>114</v>
      </c>
      <c r="I21" s="10" t="s">
        <v>114</v>
      </c>
      <c r="J21" s="10" t="s">
        <v>114</v>
      </c>
      <c r="K21" s="10" t="s">
        <v>114</v>
      </c>
      <c r="L21" s="10" t="s">
        <v>114</v>
      </c>
      <c r="M21" s="10" t="s">
        <v>114</v>
      </c>
    </row>
    <row r="22" customFormat="false" ht="15" hidden="false" customHeight="false" outlineLevel="0" collapsed="false">
      <c r="A22" s="10" t="s">
        <v>196</v>
      </c>
      <c r="B22" s="10" t="s">
        <v>197</v>
      </c>
      <c r="C22" s="10" t="s">
        <v>131</v>
      </c>
      <c r="D22" s="10" t="s">
        <v>199</v>
      </c>
      <c r="E22" s="10" t="s">
        <v>293</v>
      </c>
      <c r="F22" s="10" t="s">
        <v>293</v>
      </c>
      <c r="G22" s="10" t="s">
        <v>114</v>
      </c>
      <c r="H22" s="10" t="s">
        <v>114</v>
      </c>
      <c r="I22" s="10" t="s">
        <v>114</v>
      </c>
      <c r="J22" s="10" t="s">
        <v>114</v>
      </c>
      <c r="K22" s="10" t="s">
        <v>114</v>
      </c>
      <c r="L22" s="10" t="s">
        <v>114</v>
      </c>
      <c r="M22" s="10" t="s">
        <v>114</v>
      </c>
    </row>
    <row r="23" customFormat="false" ht="15" hidden="false" customHeight="false" outlineLevel="0" collapsed="false">
      <c r="A23" s="10" t="s">
        <v>201</v>
      </c>
      <c r="B23" s="10" t="s">
        <v>202</v>
      </c>
      <c r="C23" s="10" t="s">
        <v>131</v>
      </c>
      <c r="D23" s="10" t="s">
        <v>204</v>
      </c>
      <c r="E23" s="10" t="s">
        <v>293</v>
      </c>
      <c r="F23" s="10" t="s">
        <v>293</v>
      </c>
      <c r="G23" s="10" t="s">
        <v>114</v>
      </c>
      <c r="H23" s="10" t="s">
        <v>114</v>
      </c>
      <c r="I23" s="10" t="s">
        <v>114</v>
      </c>
      <c r="J23" s="10" t="s">
        <v>114</v>
      </c>
      <c r="K23" s="10" t="s">
        <v>114</v>
      </c>
      <c r="L23" s="10" t="s">
        <v>114</v>
      </c>
      <c r="M23" s="10" t="s">
        <v>114</v>
      </c>
    </row>
    <row r="24" customFormat="false" ht="15" hidden="false" customHeight="false" outlineLevel="0" collapsed="false">
      <c r="A24" s="10" t="s">
        <v>206</v>
      </c>
      <c r="B24" s="10" t="s">
        <v>207</v>
      </c>
      <c r="C24" s="10" t="s">
        <v>208</v>
      </c>
      <c r="D24" s="10" t="s">
        <v>210</v>
      </c>
      <c r="E24" s="10" t="s">
        <v>290</v>
      </c>
      <c r="F24" s="10" t="s">
        <v>114</v>
      </c>
      <c r="G24" s="10" t="s">
        <v>114</v>
      </c>
      <c r="H24" s="10" t="s">
        <v>278</v>
      </c>
      <c r="I24" s="10" t="s">
        <v>114</v>
      </c>
      <c r="J24" s="10" t="s">
        <v>114</v>
      </c>
      <c r="K24" s="10" t="s">
        <v>287</v>
      </c>
      <c r="L24" s="10" t="s">
        <v>114</v>
      </c>
      <c r="M24" s="10" t="s">
        <v>114</v>
      </c>
    </row>
    <row r="25" customFormat="false" ht="15" hidden="false" customHeight="false" outlineLevel="0" collapsed="false">
      <c r="A25" s="10" t="s">
        <v>212</v>
      </c>
      <c r="B25" s="10" t="s">
        <v>213</v>
      </c>
      <c r="C25" s="10" t="s">
        <v>208</v>
      </c>
      <c r="D25" s="10" t="s">
        <v>214</v>
      </c>
      <c r="E25" s="10" t="s">
        <v>114</v>
      </c>
      <c r="F25" s="10" t="s">
        <v>114</v>
      </c>
      <c r="G25" s="10" t="s">
        <v>114</v>
      </c>
      <c r="H25" s="10" t="s">
        <v>114</v>
      </c>
      <c r="I25" s="10" t="s">
        <v>114</v>
      </c>
      <c r="J25" s="10" t="s">
        <v>114</v>
      </c>
      <c r="K25" s="10" t="s">
        <v>278</v>
      </c>
      <c r="L25" s="10" t="s">
        <v>114</v>
      </c>
      <c r="M25" s="10" t="s">
        <v>114</v>
      </c>
    </row>
    <row r="26" customFormat="false" ht="15" hidden="false" customHeight="false" outlineLevel="0" collapsed="false">
      <c r="A26" s="10" t="s">
        <v>216</v>
      </c>
      <c r="B26" s="10" t="s">
        <v>217</v>
      </c>
      <c r="C26" s="10" t="s">
        <v>208</v>
      </c>
      <c r="D26" s="10" t="s">
        <v>218</v>
      </c>
      <c r="E26" s="10" t="s">
        <v>114</v>
      </c>
      <c r="F26" s="10" t="s">
        <v>114</v>
      </c>
      <c r="G26" s="10" t="s">
        <v>114</v>
      </c>
      <c r="H26" s="10" t="s">
        <v>114</v>
      </c>
      <c r="I26" s="10" t="s">
        <v>114</v>
      </c>
      <c r="J26" s="10" t="s">
        <v>114</v>
      </c>
      <c r="K26" s="10" t="s">
        <v>278</v>
      </c>
      <c r="L26" s="10" t="s">
        <v>114</v>
      </c>
      <c r="M26" s="10" t="s">
        <v>114</v>
      </c>
    </row>
    <row r="27" customFormat="false" ht="15" hidden="false" customHeight="false" outlineLevel="0" collapsed="false">
      <c r="A27" s="10" t="s">
        <v>220</v>
      </c>
      <c r="B27" s="10" t="s">
        <v>222</v>
      </c>
      <c r="C27" s="10" t="s">
        <v>136</v>
      </c>
      <c r="D27" s="10" t="s">
        <v>223</v>
      </c>
      <c r="E27" s="10" t="s">
        <v>114</v>
      </c>
      <c r="F27" s="10" t="s">
        <v>114</v>
      </c>
      <c r="G27" s="10" t="s">
        <v>114</v>
      </c>
      <c r="H27" s="10" t="s">
        <v>278</v>
      </c>
      <c r="I27" s="10" t="s">
        <v>114</v>
      </c>
      <c r="J27" s="10" t="s">
        <v>114</v>
      </c>
      <c r="K27" s="10" t="s">
        <v>114</v>
      </c>
      <c r="L27" s="10" t="s">
        <v>114</v>
      </c>
      <c r="M27" s="10" t="s">
        <v>114</v>
      </c>
    </row>
    <row r="28" customFormat="false" ht="15" hidden="false" customHeight="false" outlineLevel="0" collapsed="false">
      <c r="A28" s="10" t="s">
        <v>225</v>
      </c>
      <c r="B28" s="10" t="s">
        <v>226</v>
      </c>
      <c r="C28" s="10" t="s">
        <v>136</v>
      </c>
      <c r="D28" s="10" t="s">
        <v>227</v>
      </c>
      <c r="E28" s="10" t="s">
        <v>114</v>
      </c>
      <c r="F28" s="10" t="s">
        <v>114</v>
      </c>
      <c r="G28" s="10" t="s">
        <v>114</v>
      </c>
      <c r="H28" s="10" t="s">
        <v>278</v>
      </c>
      <c r="I28" s="10" t="s">
        <v>114</v>
      </c>
      <c r="J28" s="10" t="s">
        <v>114</v>
      </c>
      <c r="K28" s="10" t="s">
        <v>114</v>
      </c>
      <c r="L28" s="10" t="s">
        <v>114</v>
      </c>
      <c r="M28" s="10" t="s">
        <v>114</v>
      </c>
    </row>
    <row r="29" customFormat="false" ht="15" hidden="false" customHeight="false" outlineLevel="0" collapsed="false">
      <c r="A29" s="10" t="s">
        <v>229</v>
      </c>
      <c r="B29" s="10" t="s">
        <v>230</v>
      </c>
      <c r="C29" s="10" t="s">
        <v>136</v>
      </c>
      <c r="D29" s="10" t="s">
        <v>231</v>
      </c>
      <c r="E29" s="10" t="s">
        <v>114</v>
      </c>
      <c r="F29" s="10" t="s">
        <v>114</v>
      </c>
      <c r="G29" s="10" t="s">
        <v>114</v>
      </c>
      <c r="H29" s="10" t="s">
        <v>278</v>
      </c>
      <c r="I29" s="10" t="s">
        <v>114</v>
      </c>
      <c r="J29" s="10" t="s">
        <v>114</v>
      </c>
      <c r="K29" s="10" t="s">
        <v>114</v>
      </c>
      <c r="L29" s="10" t="s">
        <v>114</v>
      </c>
      <c r="M29" s="10" t="s">
        <v>114</v>
      </c>
    </row>
    <row r="30" customFormat="false" ht="15" hidden="false" customHeight="false" outlineLevel="0" collapsed="false">
      <c r="A30" s="10" t="s">
        <v>233</v>
      </c>
      <c r="B30" s="10" t="s">
        <v>234</v>
      </c>
      <c r="C30" s="10" t="s">
        <v>136</v>
      </c>
      <c r="D30" s="10" t="s">
        <v>235</v>
      </c>
      <c r="E30" s="10" t="s">
        <v>114</v>
      </c>
      <c r="F30" s="10" t="s">
        <v>114</v>
      </c>
      <c r="G30" s="10" t="s">
        <v>114</v>
      </c>
      <c r="H30" s="10" t="s">
        <v>278</v>
      </c>
      <c r="I30" s="10" t="s">
        <v>114</v>
      </c>
      <c r="J30" s="10" t="s">
        <v>114</v>
      </c>
      <c r="K30" s="10" t="s">
        <v>114</v>
      </c>
      <c r="L30" s="10" t="s">
        <v>114</v>
      </c>
      <c r="M30" s="10" t="s">
        <v>114</v>
      </c>
    </row>
    <row r="31" customFormat="false" ht="15" hidden="false" customHeight="false" outlineLevel="0" collapsed="false">
      <c r="A31" s="10" t="s">
        <v>237</v>
      </c>
      <c r="B31" s="10" t="s">
        <v>238</v>
      </c>
      <c r="C31" s="10" t="s">
        <v>136</v>
      </c>
      <c r="D31" s="10" t="s">
        <v>239</v>
      </c>
      <c r="E31" s="10" t="s">
        <v>114</v>
      </c>
      <c r="F31" s="10" t="s">
        <v>114</v>
      </c>
      <c r="G31" s="10" t="s">
        <v>114</v>
      </c>
      <c r="H31" s="10" t="s">
        <v>278</v>
      </c>
      <c r="I31" s="10" t="s">
        <v>114</v>
      </c>
      <c r="J31" s="10" t="s">
        <v>114</v>
      </c>
      <c r="K31" s="10" t="s">
        <v>114</v>
      </c>
      <c r="L31" s="10" t="s">
        <v>114</v>
      </c>
      <c r="M31" s="10" t="s">
        <v>114</v>
      </c>
    </row>
    <row r="32" customFormat="false" ht="15" hidden="false" customHeight="false" outlineLevel="0" collapsed="false">
      <c r="A32" s="10" t="s">
        <v>249</v>
      </c>
      <c r="B32" s="10" t="s">
        <v>250</v>
      </c>
      <c r="C32" s="10" t="s">
        <v>142</v>
      </c>
      <c r="D32" s="10" t="s">
        <v>251</v>
      </c>
      <c r="E32" s="10" t="s">
        <v>114</v>
      </c>
      <c r="F32" s="10" t="s">
        <v>114</v>
      </c>
      <c r="G32" s="10" t="s">
        <v>114</v>
      </c>
      <c r="H32" s="10" t="s">
        <v>278</v>
      </c>
      <c r="I32" s="10" t="s">
        <v>278</v>
      </c>
      <c r="J32" s="10" t="s">
        <v>114</v>
      </c>
      <c r="K32" s="10" t="s">
        <v>114</v>
      </c>
      <c r="L32" s="10" t="s">
        <v>114</v>
      </c>
      <c r="M32" s="10" t="s">
        <v>114</v>
      </c>
    </row>
    <row r="33" customFormat="false" ht="15" hidden="false" customHeight="false" outlineLevel="0" collapsed="false">
      <c r="A33" s="10" t="s">
        <v>268</v>
      </c>
      <c r="B33" s="10" t="s">
        <v>269</v>
      </c>
      <c r="C33" s="10" t="s">
        <v>270</v>
      </c>
      <c r="D33" s="10" t="s">
        <v>271</v>
      </c>
      <c r="E33" s="10" t="s">
        <v>114</v>
      </c>
      <c r="F33" s="10" t="s">
        <v>114</v>
      </c>
      <c r="G33" s="10" t="s">
        <v>114</v>
      </c>
      <c r="H33" s="10" t="s">
        <v>278</v>
      </c>
      <c r="I33" s="10" t="s">
        <v>278</v>
      </c>
      <c r="J33" s="10" t="s">
        <v>114</v>
      </c>
      <c r="K33" s="10" t="s">
        <v>114</v>
      </c>
      <c r="L33" s="10" t="s">
        <v>114</v>
      </c>
      <c r="M33" s="10" t="s">
        <v>114</v>
      </c>
    </row>
    <row r="34" customFormat="false" ht="15" hidden="false" customHeight="false" outlineLevel="0" collapsed="false">
      <c r="A34" s="10" t="s">
        <v>273</v>
      </c>
      <c r="B34" s="10" t="s">
        <v>274</v>
      </c>
      <c r="C34" s="10" t="s">
        <v>147</v>
      </c>
      <c r="D34" s="10" t="s">
        <v>275</v>
      </c>
      <c r="E34" s="10" t="s">
        <v>114</v>
      </c>
      <c r="F34" s="10" t="s">
        <v>114</v>
      </c>
      <c r="G34" s="10" t="s">
        <v>114</v>
      </c>
      <c r="H34" s="10" t="s">
        <v>114</v>
      </c>
      <c r="I34" s="10" t="s">
        <v>114</v>
      </c>
      <c r="J34" s="10" t="s">
        <v>114</v>
      </c>
      <c r="K34" s="10" t="s">
        <v>114</v>
      </c>
      <c r="L34" s="10" t="s">
        <v>289</v>
      </c>
      <c r="M34" s="1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1"/>
    <col collapsed="false" customWidth="true" hidden="false" outlineLevel="0" max="6" min="5" style="0" width="14"/>
  </cols>
  <sheetData>
    <row r="1" customFormat="false" ht="16.15" hidden="false" customHeight="false" outlineLevel="0" collapsed="false">
      <c r="A1" s="8" t="s">
        <v>8</v>
      </c>
    </row>
    <row r="2" customFormat="false" ht="15" hidden="false" customHeight="false" outlineLevel="0" collapsed="false">
      <c r="A2" s="2" t="s">
        <v>294</v>
      </c>
    </row>
    <row r="4" customFormat="false" ht="15" hidden="false" customHeight="false" outlineLevel="0" collapsed="false">
      <c r="A4" s="9" t="s">
        <v>105</v>
      </c>
      <c r="B4" s="9" t="s">
        <v>295</v>
      </c>
      <c r="C4" s="9" t="s">
        <v>106</v>
      </c>
      <c r="D4" s="9" t="s">
        <v>296</v>
      </c>
      <c r="E4" s="9" t="s">
        <v>11</v>
      </c>
      <c r="F4" s="9" t="s">
        <v>297</v>
      </c>
    </row>
    <row r="5" customFormat="false" ht="15" hidden="false" customHeight="false" outlineLevel="0" collapsed="false">
      <c r="A5" s="10" t="s">
        <v>113</v>
      </c>
      <c r="B5" s="10" t="s">
        <v>114</v>
      </c>
      <c r="C5" s="10" t="s">
        <v>111</v>
      </c>
      <c r="D5" s="10" t="s">
        <v>112</v>
      </c>
      <c r="E5" s="12" t="n">
        <f aca="false">COUNTIF(Employees!$E$5:$E$40,A5)</f>
        <v>1</v>
      </c>
      <c r="F5" s="12" t="n">
        <f aca="false">COUNTIF('Users per Department'!$C$5:$C$34,A5)</f>
        <v>1</v>
      </c>
    </row>
    <row r="6" customFormat="false" ht="15" hidden="false" customHeight="false" outlineLevel="0" collapsed="false">
      <c r="A6" s="10" t="s">
        <v>121</v>
      </c>
      <c r="B6" s="10" t="s">
        <v>113</v>
      </c>
      <c r="C6" s="10" t="s">
        <v>119</v>
      </c>
      <c r="D6" s="10" t="s">
        <v>120</v>
      </c>
      <c r="E6" s="12" t="n">
        <f aca="false">COUNTIF(Employees!$E$5:$E$40,A6)</f>
        <v>4</v>
      </c>
      <c r="F6" s="12" t="n">
        <f aca="false">COUNTIF('Users per Department'!$C$5:$C$34,A6)</f>
        <v>4</v>
      </c>
    </row>
    <row r="7" customFormat="false" ht="15" hidden="false" customHeight="false" outlineLevel="0" collapsed="false">
      <c r="A7" s="10" t="s">
        <v>126</v>
      </c>
      <c r="B7" s="10" t="s">
        <v>113</v>
      </c>
      <c r="C7" s="10" t="s">
        <v>124</v>
      </c>
      <c r="D7" s="10" t="s">
        <v>125</v>
      </c>
      <c r="E7" s="12" t="n">
        <f aca="false">COUNTIF(Employees!$E$5:$E$40,A7)</f>
        <v>3</v>
      </c>
      <c r="F7" s="12" t="n">
        <f aca="false">COUNTIF('Users per Department'!$C$5:$C$34,A7)</f>
        <v>3</v>
      </c>
    </row>
    <row r="8" customFormat="false" ht="15" hidden="false" customHeight="false" outlineLevel="0" collapsed="false">
      <c r="A8" s="10" t="s">
        <v>131</v>
      </c>
      <c r="B8" s="10" t="s">
        <v>113</v>
      </c>
      <c r="C8" s="10" t="s">
        <v>129</v>
      </c>
      <c r="D8" s="10" t="s">
        <v>130</v>
      </c>
      <c r="E8" s="12" t="n">
        <f aca="false">COUNTIF(Employees!$E$5:$E$40,A8)</f>
        <v>7</v>
      </c>
      <c r="F8" s="12" t="n">
        <f aca="false">COUNTIF('Users per Department'!$C$5:$C$34,A8)</f>
        <v>7</v>
      </c>
    </row>
    <row r="9" customFormat="false" ht="15" hidden="false" customHeight="false" outlineLevel="0" collapsed="false">
      <c r="A9" s="10" t="s">
        <v>208</v>
      </c>
      <c r="B9" s="10" t="s">
        <v>131</v>
      </c>
      <c r="C9" s="10" t="s">
        <v>206</v>
      </c>
      <c r="D9" s="10" t="s">
        <v>207</v>
      </c>
      <c r="E9" s="12" t="n">
        <f aca="false">COUNTIF(Employees!$E$5:$E$40,A9)</f>
        <v>3</v>
      </c>
      <c r="F9" s="12" t="n">
        <f aca="false">COUNTIF('Users per Department'!$C$5:$C$34,A9)</f>
        <v>3</v>
      </c>
    </row>
    <row r="10" customFormat="false" ht="15" hidden="false" customHeight="false" outlineLevel="0" collapsed="false">
      <c r="A10" s="10" t="s">
        <v>136</v>
      </c>
      <c r="B10" s="10" t="s">
        <v>113</v>
      </c>
      <c r="C10" s="10" t="s">
        <v>134</v>
      </c>
      <c r="D10" s="10" t="s">
        <v>135</v>
      </c>
      <c r="E10" s="12" t="n">
        <f aca="false">COUNTIF(Employees!$E$5:$E$40,A10)</f>
        <v>8</v>
      </c>
      <c r="F10" s="12" t="n">
        <f aca="false">COUNTIF('Users per Department'!$C$5:$C$34,A10)</f>
        <v>6</v>
      </c>
    </row>
    <row r="11" customFormat="false" ht="15" hidden="false" customHeight="false" outlineLevel="0" collapsed="false">
      <c r="A11" s="10" t="s">
        <v>142</v>
      </c>
      <c r="B11" s="10" t="s">
        <v>113</v>
      </c>
      <c r="C11" s="10" t="s">
        <v>140</v>
      </c>
      <c r="D11" s="10" t="s">
        <v>141</v>
      </c>
      <c r="E11" s="12" t="n">
        <f aca="false">COUNTIF(Employees!$E$5:$E$40,A11)</f>
        <v>6</v>
      </c>
      <c r="F11" s="12" t="n">
        <f aca="false">COUNTIF('Users per Department'!$C$5:$C$34,A11)</f>
        <v>2</v>
      </c>
    </row>
    <row r="12" customFormat="false" ht="15" hidden="false" customHeight="false" outlineLevel="0" collapsed="false">
      <c r="A12" s="10" t="s">
        <v>270</v>
      </c>
      <c r="B12" s="10" t="s">
        <v>142</v>
      </c>
      <c r="C12" s="10" t="s">
        <v>268</v>
      </c>
      <c r="D12" s="10" t="s">
        <v>269</v>
      </c>
      <c r="E12" s="12" t="n">
        <f aca="false">COUNTIF(Employees!$E$5:$E$40,A12)</f>
        <v>1</v>
      </c>
      <c r="F12" s="12" t="n">
        <f aca="false">COUNTIF('Users per Department'!$C$5:$C$34,A12)</f>
        <v>1</v>
      </c>
    </row>
    <row r="13" customFormat="false" ht="15" hidden="false" customHeight="false" outlineLevel="0" collapsed="false">
      <c r="A13" s="10" t="s">
        <v>147</v>
      </c>
      <c r="B13" s="10" t="s">
        <v>113</v>
      </c>
      <c r="C13" s="10" t="s">
        <v>145</v>
      </c>
      <c r="D13" s="10" t="s">
        <v>146</v>
      </c>
      <c r="E13" s="12" t="n">
        <f aca="false">COUNTIF(Employees!$E$5:$E$40,A13)</f>
        <v>2</v>
      </c>
      <c r="F13" s="12" t="n">
        <f aca="false">COUNTIF('Users per Department'!$C$5:$C$34,A13)</f>
        <v>2</v>
      </c>
    </row>
    <row r="14" customFormat="false" ht="15" hidden="false" customHeight="false" outlineLevel="0" collapsed="false">
      <c r="A14" s="10" t="s">
        <v>152</v>
      </c>
      <c r="B14" s="10" t="s">
        <v>113</v>
      </c>
      <c r="C14" s="10" t="s">
        <v>150</v>
      </c>
      <c r="D14" s="10" t="s">
        <v>151</v>
      </c>
      <c r="E14" s="12" t="n">
        <f aca="false">COUNTIF(Employees!$E$5:$E$40,A14)</f>
        <v>1</v>
      </c>
      <c r="F14" s="12" t="n">
        <f aca="false">COUNTIF('Users per Department'!$C$5:$C$34,A14)</f>
        <v>1</v>
      </c>
    </row>
    <row r="15" customFormat="false" ht="15" hidden="false" customHeight="false" outlineLevel="0" collapsed="false">
      <c r="A15" s="13" t="s">
        <v>298</v>
      </c>
      <c r="B15" s="14"/>
      <c r="C15" s="14"/>
      <c r="D15" s="14"/>
      <c r="E15" s="15" t="n">
        <f aca="false">SUM(E5:E14)</f>
        <v>36</v>
      </c>
      <c r="F15" s="15" t="n">
        <f aca="false">SUM(F5:F14)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25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8" t="s">
        <v>299</v>
      </c>
    </row>
    <row r="2" customFormat="false" ht="15" hidden="false" customHeight="false" outlineLevel="0" collapsed="false">
      <c r="A2" s="2" t="s">
        <v>300</v>
      </c>
    </row>
    <row r="4" customFormat="false" ht="15" hidden="false" customHeight="false" outlineLevel="0" collapsed="false">
      <c r="A4" s="9" t="s">
        <v>301</v>
      </c>
      <c r="B4" s="9" t="s">
        <v>302</v>
      </c>
      <c r="C4" s="9" t="s">
        <v>303</v>
      </c>
      <c r="D4" s="9" t="s">
        <v>304</v>
      </c>
      <c r="E4" s="9" t="s">
        <v>305</v>
      </c>
      <c r="F4" s="9" t="s">
        <v>306</v>
      </c>
      <c r="G4" s="9" t="s">
        <v>307</v>
      </c>
      <c r="H4" s="9" t="s">
        <v>308</v>
      </c>
    </row>
    <row r="5" customFormat="false" ht="15" hidden="false" customHeight="false" outlineLevel="0" collapsed="false">
      <c r="A5" s="10" t="s">
        <v>309</v>
      </c>
      <c r="B5" s="10" t="s">
        <v>310</v>
      </c>
      <c r="C5" s="10" t="s">
        <v>311</v>
      </c>
      <c r="D5" s="10" t="s">
        <v>312</v>
      </c>
      <c r="E5" s="10" t="s">
        <v>114</v>
      </c>
      <c r="F5" s="10" t="s">
        <v>114</v>
      </c>
      <c r="G5" s="10" t="s">
        <v>313</v>
      </c>
      <c r="H5" s="10" t="s">
        <v>314</v>
      </c>
    </row>
    <row r="6" customFormat="false" ht="15" hidden="false" customHeight="false" outlineLevel="0" collapsed="false">
      <c r="A6" s="10" t="s">
        <v>315</v>
      </c>
      <c r="B6" s="10" t="s">
        <v>316</v>
      </c>
      <c r="C6" s="10" t="s">
        <v>311</v>
      </c>
      <c r="D6" s="10" t="s">
        <v>312</v>
      </c>
      <c r="E6" s="10" t="s">
        <v>114</v>
      </c>
      <c r="F6" s="10" t="s">
        <v>114</v>
      </c>
      <c r="G6" s="10" t="s">
        <v>313</v>
      </c>
      <c r="H6" s="10" t="s">
        <v>317</v>
      </c>
    </row>
    <row r="7" customFormat="false" ht="15" hidden="false" customHeight="false" outlineLevel="0" collapsed="false">
      <c r="A7" s="10" t="s">
        <v>318</v>
      </c>
      <c r="B7" s="10" t="s">
        <v>319</v>
      </c>
      <c r="C7" s="10" t="s">
        <v>320</v>
      </c>
      <c r="D7" s="10" t="s">
        <v>312</v>
      </c>
      <c r="E7" s="10" t="s">
        <v>244</v>
      </c>
      <c r="F7" s="10" t="s">
        <v>114</v>
      </c>
      <c r="G7" s="10" t="s">
        <v>321</v>
      </c>
      <c r="H7" s="10" t="s">
        <v>322</v>
      </c>
    </row>
    <row r="8" customFormat="false" ht="15" hidden="false" customHeight="false" outlineLevel="0" collapsed="false">
      <c r="A8" s="10" t="s">
        <v>323</v>
      </c>
      <c r="B8" s="10" t="s">
        <v>324</v>
      </c>
      <c r="C8" s="10" t="s">
        <v>320</v>
      </c>
      <c r="D8" s="10" t="s">
        <v>312</v>
      </c>
      <c r="E8" s="10" t="s">
        <v>244</v>
      </c>
      <c r="F8" s="10" t="s">
        <v>114</v>
      </c>
      <c r="G8" s="10" t="s">
        <v>321</v>
      </c>
      <c r="H8" s="10" t="s">
        <v>325</v>
      </c>
    </row>
    <row r="9" customFormat="false" ht="15" hidden="false" customHeight="false" outlineLevel="0" collapsed="false">
      <c r="A9" s="10" t="s">
        <v>326</v>
      </c>
      <c r="B9" s="10" t="s">
        <v>327</v>
      </c>
      <c r="C9" s="10" t="s">
        <v>320</v>
      </c>
      <c r="D9" s="10" t="s">
        <v>312</v>
      </c>
      <c r="E9" s="10" t="s">
        <v>244</v>
      </c>
      <c r="F9" s="10" t="s">
        <v>114</v>
      </c>
      <c r="G9" s="10" t="s">
        <v>321</v>
      </c>
      <c r="H9" s="10" t="s">
        <v>328</v>
      </c>
    </row>
    <row r="10" customFormat="false" ht="15" hidden="false" customHeight="false" outlineLevel="0" collapsed="false">
      <c r="A10" s="10" t="s">
        <v>329</v>
      </c>
      <c r="B10" s="10" t="s">
        <v>330</v>
      </c>
      <c r="C10" s="10" t="s">
        <v>320</v>
      </c>
      <c r="D10" s="10" t="s">
        <v>312</v>
      </c>
      <c r="E10" s="10" t="s">
        <v>244</v>
      </c>
      <c r="F10" s="10" t="s">
        <v>114</v>
      </c>
      <c r="G10" s="10" t="s">
        <v>321</v>
      </c>
      <c r="H10" s="10" t="s">
        <v>331</v>
      </c>
    </row>
    <row r="11" customFormat="false" ht="15" hidden="false" customHeight="false" outlineLevel="0" collapsed="false">
      <c r="A11" s="10" t="s">
        <v>332</v>
      </c>
      <c r="B11" s="10" t="s">
        <v>333</v>
      </c>
      <c r="C11" s="10" t="s">
        <v>334</v>
      </c>
      <c r="D11" s="10" t="s">
        <v>312</v>
      </c>
      <c r="E11" s="10" t="s">
        <v>114</v>
      </c>
      <c r="F11" s="10" t="s">
        <v>114</v>
      </c>
      <c r="G11" s="10" t="s">
        <v>313</v>
      </c>
      <c r="H11" s="10" t="s">
        <v>335</v>
      </c>
    </row>
    <row r="12" customFormat="false" ht="15" hidden="false" customHeight="false" outlineLevel="0" collapsed="false">
      <c r="A12" s="10" t="s">
        <v>336</v>
      </c>
      <c r="B12" s="10" t="s">
        <v>337</v>
      </c>
      <c r="C12" s="10" t="s">
        <v>320</v>
      </c>
      <c r="D12" s="10" t="s">
        <v>312</v>
      </c>
      <c r="E12" s="10" t="s">
        <v>244</v>
      </c>
      <c r="F12" s="10" t="s">
        <v>114</v>
      </c>
      <c r="G12" s="10" t="s">
        <v>321</v>
      </c>
      <c r="H12" s="10" t="s">
        <v>338</v>
      </c>
    </row>
    <row r="13" customFormat="false" ht="15" hidden="false" customHeight="false" outlineLevel="0" collapsed="false">
      <c r="A13" s="10" t="s">
        <v>339</v>
      </c>
      <c r="B13" s="10" t="s">
        <v>340</v>
      </c>
      <c r="C13" s="10" t="s">
        <v>320</v>
      </c>
      <c r="D13" s="10" t="s">
        <v>312</v>
      </c>
      <c r="E13" s="10" t="s">
        <v>244</v>
      </c>
      <c r="F13" s="10" t="s">
        <v>114</v>
      </c>
      <c r="G13" s="10" t="s">
        <v>321</v>
      </c>
      <c r="H13" s="10" t="s">
        <v>341</v>
      </c>
    </row>
    <row r="14" customFormat="false" ht="15" hidden="false" customHeight="false" outlineLevel="0" collapsed="false">
      <c r="A14" s="10" t="s">
        <v>342</v>
      </c>
      <c r="B14" s="10" t="s">
        <v>343</v>
      </c>
      <c r="C14" s="10" t="s">
        <v>320</v>
      </c>
      <c r="D14" s="10" t="s">
        <v>312</v>
      </c>
      <c r="E14" s="10" t="s">
        <v>244</v>
      </c>
      <c r="F14" s="10" t="s">
        <v>344</v>
      </c>
      <c r="G14" s="10" t="s">
        <v>321</v>
      </c>
      <c r="H14" s="10" t="s">
        <v>345</v>
      </c>
    </row>
    <row r="15" customFormat="false" ht="15" hidden="false" customHeight="false" outlineLevel="0" collapsed="false">
      <c r="A15" s="10" t="s">
        <v>346</v>
      </c>
      <c r="B15" s="10" t="s">
        <v>347</v>
      </c>
      <c r="C15" s="10" t="s">
        <v>320</v>
      </c>
      <c r="D15" s="10" t="s">
        <v>312</v>
      </c>
      <c r="E15" s="10" t="s">
        <v>244</v>
      </c>
      <c r="F15" s="10" t="s">
        <v>114</v>
      </c>
      <c r="G15" s="10" t="s">
        <v>321</v>
      </c>
      <c r="H15" s="10" t="s">
        <v>348</v>
      </c>
    </row>
    <row r="16" customFormat="false" ht="15" hidden="false" customHeight="false" outlineLevel="0" collapsed="false">
      <c r="A16" s="10" t="s">
        <v>349</v>
      </c>
      <c r="B16" s="10" t="s">
        <v>350</v>
      </c>
      <c r="C16" s="10" t="s">
        <v>311</v>
      </c>
      <c r="D16" s="10" t="s">
        <v>312</v>
      </c>
      <c r="E16" s="10" t="s">
        <v>114</v>
      </c>
      <c r="F16" s="10" t="s">
        <v>114</v>
      </c>
      <c r="G16" s="10" t="s">
        <v>313</v>
      </c>
      <c r="H16" s="10" t="s">
        <v>351</v>
      </c>
    </row>
    <row r="17" customFormat="false" ht="15" hidden="false" customHeight="false" outlineLevel="0" collapsed="false">
      <c r="A17" s="10" t="s">
        <v>352</v>
      </c>
      <c r="B17" s="10" t="s">
        <v>353</v>
      </c>
      <c r="C17" s="10" t="s">
        <v>311</v>
      </c>
      <c r="D17" s="10" t="s">
        <v>312</v>
      </c>
      <c r="E17" s="10" t="s">
        <v>114</v>
      </c>
      <c r="F17" s="10" t="s">
        <v>114</v>
      </c>
      <c r="G17" s="10" t="s">
        <v>313</v>
      </c>
      <c r="H17" s="10" t="s">
        <v>354</v>
      </c>
    </row>
    <row r="18" customFormat="false" ht="15" hidden="false" customHeight="false" outlineLevel="0" collapsed="false">
      <c r="A18" s="10" t="s">
        <v>355</v>
      </c>
      <c r="B18" s="10" t="s">
        <v>356</v>
      </c>
      <c r="C18" s="10" t="s">
        <v>334</v>
      </c>
      <c r="D18" s="10" t="s">
        <v>312</v>
      </c>
      <c r="E18" s="10" t="s">
        <v>117</v>
      </c>
      <c r="F18" s="10" t="s">
        <v>114</v>
      </c>
      <c r="G18" s="10" t="s">
        <v>321</v>
      </c>
      <c r="H18" s="10" t="s">
        <v>357</v>
      </c>
    </row>
    <row r="19" customFormat="false" ht="15" hidden="false" customHeight="false" outlineLevel="0" collapsed="false">
      <c r="A19" s="10" t="s">
        <v>358</v>
      </c>
      <c r="B19" s="10" t="s">
        <v>359</v>
      </c>
      <c r="C19" s="10" t="s">
        <v>334</v>
      </c>
      <c r="D19" s="10" t="s">
        <v>312</v>
      </c>
      <c r="E19" s="10" t="s">
        <v>117</v>
      </c>
      <c r="F19" s="10" t="s">
        <v>114</v>
      </c>
      <c r="G19" s="10" t="s">
        <v>321</v>
      </c>
      <c r="H19" s="10" t="s">
        <v>360</v>
      </c>
    </row>
    <row r="20" customFormat="false" ht="15" hidden="false" customHeight="false" outlineLevel="0" collapsed="false">
      <c r="A20" s="10" t="s">
        <v>361</v>
      </c>
      <c r="B20" s="10" t="s">
        <v>362</v>
      </c>
      <c r="C20" s="10" t="s">
        <v>334</v>
      </c>
      <c r="D20" s="10" t="s">
        <v>312</v>
      </c>
      <c r="E20" s="10" t="s">
        <v>117</v>
      </c>
      <c r="F20" s="10" t="s">
        <v>114</v>
      </c>
      <c r="G20" s="10" t="s">
        <v>321</v>
      </c>
      <c r="H20" s="10" t="s">
        <v>363</v>
      </c>
    </row>
    <row r="21" customFormat="false" ht="15" hidden="false" customHeight="false" outlineLevel="0" collapsed="false">
      <c r="A21" s="10" t="s">
        <v>364</v>
      </c>
      <c r="B21" s="10" t="s">
        <v>365</v>
      </c>
      <c r="C21" s="10" t="s">
        <v>366</v>
      </c>
      <c r="D21" s="10" t="s">
        <v>312</v>
      </c>
      <c r="E21" s="10" t="s">
        <v>244</v>
      </c>
      <c r="F21" s="10" t="s">
        <v>114</v>
      </c>
      <c r="G21" s="10" t="s">
        <v>321</v>
      </c>
      <c r="H21" s="10" t="s">
        <v>367</v>
      </c>
    </row>
    <row r="22" customFormat="false" ht="15" hidden="false" customHeight="false" outlineLevel="0" collapsed="false">
      <c r="A22" s="10" t="s">
        <v>368</v>
      </c>
      <c r="B22" s="10" t="s">
        <v>369</v>
      </c>
      <c r="C22" s="10" t="s">
        <v>311</v>
      </c>
      <c r="D22" s="10" t="s">
        <v>312</v>
      </c>
      <c r="E22" s="10" t="s">
        <v>117</v>
      </c>
      <c r="F22" s="10" t="s">
        <v>114</v>
      </c>
      <c r="G22" s="10" t="s">
        <v>321</v>
      </c>
      <c r="H22" s="10" t="s">
        <v>370</v>
      </c>
    </row>
    <row r="23" customFormat="false" ht="15" hidden="false" customHeight="false" outlineLevel="0" collapsed="false">
      <c r="A23" s="10" t="s">
        <v>371</v>
      </c>
      <c r="B23" s="10" t="s">
        <v>372</v>
      </c>
      <c r="C23" s="10" t="s">
        <v>311</v>
      </c>
      <c r="D23" s="10" t="s">
        <v>312</v>
      </c>
      <c r="E23" s="10" t="s">
        <v>244</v>
      </c>
      <c r="F23" s="10" t="s">
        <v>114</v>
      </c>
      <c r="G23" s="10" t="s">
        <v>321</v>
      </c>
      <c r="H23" s="10" t="s">
        <v>373</v>
      </c>
    </row>
    <row r="24" customFormat="false" ht="15" hidden="false" customHeight="false" outlineLevel="0" collapsed="false">
      <c r="A24" s="10" t="s">
        <v>374</v>
      </c>
      <c r="B24" s="10" t="s">
        <v>375</v>
      </c>
      <c r="C24" s="10" t="s">
        <v>311</v>
      </c>
      <c r="D24" s="10" t="s">
        <v>312</v>
      </c>
      <c r="E24" s="10" t="s">
        <v>244</v>
      </c>
      <c r="F24" s="10" t="s">
        <v>114</v>
      </c>
      <c r="G24" s="10" t="s">
        <v>321</v>
      </c>
      <c r="H24" s="10" t="s">
        <v>376</v>
      </c>
    </row>
    <row r="25" customFormat="false" ht="15" hidden="false" customHeight="false" outlineLevel="0" collapsed="false">
      <c r="A25" s="10" t="s">
        <v>377</v>
      </c>
      <c r="B25" s="10" t="s">
        <v>378</v>
      </c>
      <c r="C25" s="10" t="s">
        <v>311</v>
      </c>
      <c r="D25" s="10" t="s">
        <v>312</v>
      </c>
      <c r="E25" s="10" t="s">
        <v>244</v>
      </c>
      <c r="F25" s="10" t="s">
        <v>114</v>
      </c>
      <c r="G25" s="10" t="s">
        <v>321</v>
      </c>
      <c r="H25" s="10" t="s">
        <v>379</v>
      </c>
    </row>
    <row r="26" customFormat="false" ht="15" hidden="false" customHeight="false" outlineLevel="0" collapsed="false">
      <c r="A26" s="10" t="s">
        <v>380</v>
      </c>
      <c r="B26" s="10" t="s">
        <v>381</v>
      </c>
      <c r="C26" s="10" t="s">
        <v>311</v>
      </c>
      <c r="D26" s="10" t="s">
        <v>312</v>
      </c>
      <c r="E26" s="10" t="s">
        <v>244</v>
      </c>
      <c r="F26" s="10" t="s">
        <v>114</v>
      </c>
      <c r="G26" s="10" t="s">
        <v>321</v>
      </c>
      <c r="H26" s="10" t="s">
        <v>382</v>
      </c>
    </row>
    <row r="27" customFormat="false" ht="15" hidden="false" customHeight="false" outlineLevel="0" collapsed="false">
      <c r="A27" s="10" t="s">
        <v>383</v>
      </c>
      <c r="B27" s="10" t="s">
        <v>384</v>
      </c>
      <c r="C27" s="10" t="s">
        <v>311</v>
      </c>
      <c r="D27" s="10" t="s">
        <v>312</v>
      </c>
      <c r="E27" s="10" t="s">
        <v>244</v>
      </c>
      <c r="F27" s="10" t="s">
        <v>114</v>
      </c>
      <c r="G27" s="10" t="s">
        <v>321</v>
      </c>
      <c r="H27" s="10" t="s">
        <v>385</v>
      </c>
    </row>
    <row r="28" customFormat="false" ht="15" hidden="false" customHeight="false" outlineLevel="0" collapsed="false">
      <c r="A28" s="10" t="s">
        <v>386</v>
      </c>
      <c r="B28" s="10" t="s">
        <v>387</v>
      </c>
      <c r="C28" s="10" t="s">
        <v>311</v>
      </c>
      <c r="D28" s="10" t="s">
        <v>312</v>
      </c>
      <c r="E28" s="10" t="s">
        <v>244</v>
      </c>
      <c r="F28" s="10" t="s">
        <v>114</v>
      </c>
      <c r="G28" s="10" t="s">
        <v>321</v>
      </c>
      <c r="H28" s="10" t="s">
        <v>388</v>
      </c>
    </row>
    <row r="29" customFormat="false" ht="15" hidden="false" customHeight="false" outlineLevel="0" collapsed="false">
      <c r="A29" s="10" t="s">
        <v>389</v>
      </c>
      <c r="B29" s="10" t="s">
        <v>390</v>
      </c>
      <c r="C29" s="10" t="s">
        <v>311</v>
      </c>
      <c r="D29" s="10" t="s">
        <v>312</v>
      </c>
      <c r="E29" s="10" t="s">
        <v>244</v>
      </c>
      <c r="F29" s="10" t="s">
        <v>114</v>
      </c>
      <c r="G29" s="10" t="s">
        <v>321</v>
      </c>
      <c r="H29" s="10" t="s">
        <v>391</v>
      </c>
    </row>
    <row r="30" customFormat="false" ht="15" hidden="false" customHeight="false" outlineLevel="0" collapsed="false">
      <c r="A30" s="10" t="s">
        <v>392</v>
      </c>
      <c r="B30" s="10" t="s">
        <v>393</v>
      </c>
      <c r="C30" s="10" t="s">
        <v>311</v>
      </c>
      <c r="D30" s="10" t="s">
        <v>312</v>
      </c>
      <c r="E30" s="10" t="s">
        <v>244</v>
      </c>
      <c r="F30" s="10" t="s">
        <v>114</v>
      </c>
      <c r="G30" s="10" t="s">
        <v>321</v>
      </c>
      <c r="H30" s="10" t="s">
        <v>394</v>
      </c>
    </row>
    <row r="31" customFormat="false" ht="15" hidden="false" customHeight="false" outlineLevel="0" collapsed="false">
      <c r="A31" s="10" t="s">
        <v>395</v>
      </c>
      <c r="B31" s="10" t="s">
        <v>396</v>
      </c>
      <c r="C31" s="10" t="s">
        <v>311</v>
      </c>
      <c r="D31" s="10" t="s">
        <v>312</v>
      </c>
      <c r="E31" s="10" t="s">
        <v>244</v>
      </c>
      <c r="F31" s="10" t="s">
        <v>114</v>
      </c>
      <c r="G31" s="10" t="s">
        <v>321</v>
      </c>
      <c r="H31" s="10" t="s">
        <v>397</v>
      </c>
    </row>
    <row r="32" customFormat="false" ht="15" hidden="false" customHeight="false" outlineLevel="0" collapsed="false">
      <c r="A32" s="10" t="s">
        <v>398</v>
      </c>
      <c r="B32" s="10" t="s">
        <v>399</v>
      </c>
      <c r="C32" s="10" t="s">
        <v>311</v>
      </c>
      <c r="D32" s="10" t="s">
        <v>312</v>
      </c>
      <c r="E32" s="10" t="s">
        <v>117</v>
      </c>
      <c r="F32" s="10" t="s">
        <v>114</v>
      </c>
      <c r="G32" s="10" t="s">
        <v>321</v>
      </c>
      <c r="H32" s="10" t="s">
        <v>400</v>
      </c>
    </row>
    <row r="33" customFormat="false" ht="15" hidden="false" customHeight="false" outlineLevel="0" collapsed="false">
      <c r="A33" s="10" t="s">
        <v>401</v>
      </c>
      <c r="B33" s="10" t="s">
        <v>402</v>
      </c>
      <c r="C33" s="10" t="s">
        <v>311</v>
      </c>
      <c r="D33" s="10" t="s">
        <v>312</v>
      </c>
      <c r="E33" s="10" t="s">
        <v>117</v>
      </c>
      <c r="F33" s="10" t="s">
        <v>114</v>
      </c>
      <c r="G33" s="10" t="s">
        <v>321</v>
      </c>
      <c r="H33" s="10" t="s">
        <v>403</v>
      </c>
    </row>
    <row r="34" customFormat="false" ht="15" hidden="false" customHeight="false" outlineLevel="0" collapsed="false">
      <c r="A34" s="10" t="s">
        <v>404</v>
      </c>
      <c r="B34" s="10" t="s">
        <v>405</v>
      </c>
      <c r="C34" s="10" t="s">
        <v>311</v>
      </c>
      <c r="D34" s="10" t="s">
        <v>312</v>
      </c>
      <c r="E34" s="10" t="s">
        <v>244</v>
      </c>
      <c r="F34" s="10" t="s">
        <v>114</v>
      </c>
      <c r="G34" s="10" t="s">
        <v>321</v>
      </c>
      <c r="H34" s="10" t="s">
        <v>406</v>
      </c>
    </row>
    <row r="35" customFormat="false" ht="15" hidden="false" customHeight="false" outlineLevel="0" collapsed="false">
      <c r="A35" s="10" t="s">
        <v>407</v>
      </c>
      <c r="B35" s="10" t="s">
        <v>408</v>
      </c>
      <c r="C35" s="10" t="s">
        <v>311</v>
      </c>
      <c r="D35" s="10" t="s">
        <v>312</v>
      </c>
      <c r="E35" s="10" t="s">
        <v>244</v>
      </c>
      <c r="F35" s="10" t="s">
        <v>114</v>
      </c>
      <c r="G35" s="10" t="s">
        <v>321</v>
      </c>
      <c r="H35" s="10" t="s">
        <v>409</v>
      </c>
    </row>
    <row r="36" customFormat="false" ht="15" hidden="false" customHeight="false" outlineLevel="0" collapsed="false">
      <c r="A36" s="10" t="s">
        <v>410</v>
      </c>
      <c r="B36" s="10" t="s">
        <v>411</v>
      </c>
      <c r="C36" s="10" t="s">
        <v>311</v>
      </c>
      <c r="D36" s="10" t="s">
        <v>312</v>
      </c>
      <c r="E36" s="10" t="s">
        <v>244</v>
      </c>
      <c r="F36" s="10" t="s">
        <v>114</v>
      </c>
      <c r="G36" s="10" t="s">
        <v>321</v>
      </c>
      <c r="H36" s="10" t="s">
        <v>412</v>
      </c>
    </row>
    <row r="37" customFormat="false" ht="15" hidden="false" customHeight="false" outlineLevel="0" collapsed="false">
      <c r="A37" s="10" t="s">
        <v>413</v>
      </c>
      <c r="B37" s="10" t="s">
        <v>414</v>
      </c>
      <c r="C37" s="10" t="s">
        <v>311</v>
      </c>
      <c r="D37" s="10" t="s">
        <v>312</v>
      </c>
      <c r="E37" s="10" t="s">
        <v>244</v>
      </c>
      <c r="F37" s="10" t="s">
        <v>114</v>
      </c>
      <c r="G37" s="10" t="s">
        <v>321</v>
      </c>
      <c r="H37" s="10" t="s">
        <v>415</v>
      </c>
    </row>
    <row r="38" customFormat="false" ht="15" hidden="false" customHeight="false" outlineLevel="0" collapsed="false">
      <c r="A38" s="10" t="s">
        <v>416</v>
      </c>
      <c r="B38" s="10" t="s">
        <v>417</v>
      </c>
      <c r="C38" s="10" t="s">
        <v>418</v>
      </c>
      <c r="D38" s="10" t="s">
        <v>312</v>
      </c>
      <c r="E38" s="10" t="s">
        <v>244</v>
      </c>
      <c r="F38" s="10" t="s">
        <v>114</v>
      </c>
      <c r="G38" s="10" t="s">
        <v>321</v>
      </c>
      <c r="H38" s="10" t="s">
        <v>419</v>
      </c>
    </row>
    <row r="39" customFormat="false" ht="15" hidden="false" customHeight="false" outlineLevel="0" collapsed="false">
      <c r="A39" s="10" t="s">
        <v>420</v>
      </c>
      <c r="B39" s="10" t="s">
        <v>421</v>
      </c>
      <c r="C39" s="10" t="s">
        <v>418</v>
      </c>
      <c r="D39" s="10" t="s">
        <v>312</v>
      </c>
      <c r="E39" s="10" t="s">
        <v>244</v>
      </c>
      <c r="F39" s="10" t="s">
        <v>114</v>
      </c>
      <c r="G39" s="10" t="s">
        <v>321</v>
      </c>
      <c r="H39" s="10" t="s">
        <v>419</v>
      </c>
    </row>
    <row r="40" customFormat="false" ht="15" hidden="false" customHeight="false" outlineLevel="0" collapsed="false">
      <c r="A40" s="10" t="s">
        <v>422</v>
      </c>
      <c r="B40" s="10" t="s">
        <v>423</v>
      </c>
      <c r="C40" s="10" t="s">
        <v>418</v>
      </c>
      <c r="D40" s="10" t="s">
        <v>312</v>
      </c>
      <c r="E40" s="10" t="s">
        <v>244</v>
      </c>
      <c r="F40" s="10" t="s">
        <v>114</v>
      </c>
      <c r="G40" s="10" t="s">
        <v>321</v>
      </c>
      <c r="H40" s="10" t="s">
        <v>419</v>
      </c>
    </row>
    <row r="41" customFormat="false" ht="15" hidden="false" customHeight="false" outlineLevel="0" collapsed="false">
      <c r="A41" s="10" t="s">
        <v>424</v>
      </c>
      <c r="B41" s="10" t="s">
        <v>425</v>
      </c>
      <c r="C41" s="10" t="s">
        <v>418</v>
      </c>
      <c r="D41" s="10" t="s">
        <v>312</v>
      </c>
      <c r="E41" s="10" t="s">
        <v>244</v>
      </c>
      <c r="F41" s="10" t="s">
        <v>114</v>
      </c>
      <c r="G41" s="10" t="s">
        <v>321</v>
      </c>
      <c r="H41" s="10" t="s">
        <v>419</v>
      </c>
    </row>
    <row r="42" customFormat="false" ht="15" hidden="false" customHeight="false" outlineLevel="0" collapsed="false">
      <c r="A42" s="10" t="s">
        <v>426</v>
      </c>
      <c r="B42" s="10" t="s">
        <v>427</v>
      </c>
      <c r="C42" s="10" t="s">
        <v>418</v>
      </c>
      <c r="D42" s="10" t="s">
        <v>312</v>
      </c>
      <c r="E42" s="10" t="s">
        <v>244</v>
      </c>
      <c r="F42" s="10" t="s">
        <v>114</v>
      </c>
      <c r="G42" s="10" t="s">
        <v>321</v>
      </c>
      <c r="H42" s="10" t="s">
        <v>419</v>
      </c>
    </row>
    <row r="43" customFormat="false" ht="15" hidden="false" customHeight="false" outlineLevel="0" collapsed="false">
      <c r="A43" s="10" t="s">
        <v>428</v>
      </c>
      <c r="B43" s="10" t="s">
        <v>429</v>
      </c>
      <c r="C43" s="10" t="s">
        <v>418</v>
      </c>
      <c r="D43" s="10" t="s">
        <v>312</v>
      </c>
      <c r="E43" s="10" t="s">
        <v>244</v>
      </c>
      <c r="F43" s="10" t="s">
        <v>114</v>
      </c>
      <c r="G43" s="10" t="s">
        <v>321</v>
      </c>
      <c r="H43" s="10" t="s">
        <v>430</v>
      </c>
    </row>
    <row r="44" customFormat="false" ht="15" hidden="false" customHeight="false" outlineLevel="0" collapsed="false">
      <c r="A44" s="10" t="s">
        <v>431</v>
      </c>
      <c r="B44" s="10" t="s">
        <v>432</v>
      </c>
      <c r="C44" s="10" t="s">
        <v>418</v>
      </c>
      <c r="D44" s="10" t="s">
        <v>312</v>
      </c>
      <c r="E44" s="10" t="s">
        <v>244</v>
      </c>
      <c r="F44" s="10" t="s">
        <v>114</v>
      </c>
      <c r="G44" s="10" t="s">
        <v>321</v>
      </c>
      <c r="H44" s="10" t="s">
        <v>430</v>
      </c>
    </row>
    <row r="45" customFormat="false" ht="15" hidden="false" customHeight="false" outlineLevel="0" collapsed="false">
      <c r="A45" s="10" t="s">
        <v>433</v>
      </c>
      <c r="B45" s="10" t="s">
        <v>434</v>
      </c>
      <c r="C45" s="10" t="s">
        <v>418</v>
      </c>
      <c r="D45" s="10" t="s">
        <v>312</v>
      </c>
      <c r="E45" s="10" t="s">
        <v>244</v>
      </c>
      <c r="F45" s="10" t="s">
        <v>114</v>
      </c>
      <c r="G45" s="10" t="s">
        <v>321</v>
      </c>
      <c r="H45" s="10" t="s">
        <v>430</v>
      </c>
    </row>
    <row r="46" customFormat="false" ht="15" hidden="false" customHeight="false" outlineLevel="0" collapsed="false">
      <c r="A46" s="10" t="s">
        <v>435</v>
      </c>
      <c r="B46" s="10" t="s">
        <v>436</v>
      </c>
      <c r="C46" s="10" t="s">
        <v>418</v>
      </c>
      <c r="D46" s="10" t="s">
        <v>312</v>
      </c>
      <c r="E46" s="10" t="s">
        <v>244</v>
      </c>
      <c r="F46" s="10" t="s">
        <v>114</v>
      </c>
      <c r="G46" s="10" t="s">
        <v>321</v>
      </c>
      <c r="H46" s="10" t="s">
        <v>430</v>
      </c>
    </row>
    <row r="47" customFormat="false" ht="15" hidden="false" customHeight="false" outlineLevel="0" collapsed="false">
      <c r="A47" s="10" t="s">
        <v>437</v>
      </c>
      <c r="B47" s="10" t="s">
        <v>438</v>
      </c>
      <c r="C47" s="10" t="s">
        <v>418</v>
      </c>
      <c r="D47" s="10" t="s">
        <v>312</v>
      </c>
      <c r="E47" s="10" t="s">
        <v>244</v>
      </c>
      <c r="F47" s="10" t="s">
        <v>114</v>
      </c>
      <c r="G47" s="10" t="s">
        <v>321</v>
      </c>
      <c r="H47" s="10" t="s">
        <v>430</v>
      </c>
    </row>
    <row r="48" customFormat="false" ht="15" hidden="false" customHeight="false" outlineLevel="0" collapsed="false">
      <c r="A48" s="10" t="s">
        <v>439</v>
      </c>
      <c r="B48" s="10" t="s">
        <v>440</v>
      </c>
      <c r="C48" s="10" t="s">
        <v>311</v>
      </c>
      <c r="D48" s="10" t="s">
        <v>312</v>
      </c>
      <c r="E48" s="10" t="s">
        <v>244</v>
      </c>
      <c r="F48" s="10" t="s">
        <v>114</v>
      </c>
      <c r="G48" s="10" t="s">
        <v>321</v>
      </c>
      <c r="H48" s="11" t="s">
        <v>441</v>
      </c>
    </row>
    <row r="49" customFormat="false" ht="15" hidden="false" customHeight="false" outlineLevel="0" collapsed="false">
      <c r="A49" s="10" t="s">
        <v>442</v>
      </c>
      <c r="B49" s="10" t="s">
        <v>443</v>
      </c>
      <c r="C49" s="10" t="s">
        <v>444</v>
      </c>
      <c r="D49" s="10" t="s">
        <v>445</v>
      </c>
      <c r="E49" s="10" t="s">
        <v>114</v>
      </c>
      <c r="F49" s="10" t="s">
        <v>114</v>
      </c>
      <c r="G49" s="10" t="s">
        <v>313</v>
      </c>
      <c r="H49" s="10" t="s">
        <v>446</v>
      </c>
    </row>
    <row r="50" customFormat="false" ht="15" hidden="false" customHeight="false" outlineLevel="0" collapsed="false">
      <c r="A50" s="10" t="s">
        <v>447</v>
      </c>
      <c r="B50" s="10" t="s">
        <v>448</v>
      </c>
      <c r="C50" s="10" t="s">
        <v>444</v>
      </c>
      <c r="D50" s="10" t="s">
        <v>445</v>
      </c>
      <c r="E50" s="10" t="s">
        <v>114</v>
      </c>
      <c r="F50" s="10" t="s">
        <v>114</v>
      </c>
      <c r="G50" s="10" t="s">
        <v>313</v>
      </c>
      <c r="H50" s="10" t="s">
        <v>449</v>
      </c>
    </row>
    <row r="51" customFormat="false" ht="15" hidden="false" customHeight="false" outlineLevel="0" collapsed="false">
      <c r="A51" s="10" t="s">
        <v>450</v>
      </c>
      <c r="B51" s="10" t="s">
        <v>451</v>
      </c>
      <c r="C51" s="10" t="s">
        <v>444</v>
      </c>
      <c r="D51" s="10" t="s">
        <v>445</v>
      </c>
      <c r="E51" s="10" t="s">
        <v>244</v>
      </c>
      <c r="F51" s="10" t="s">
        <v>114</v>
      </c>
      <c r="G51" s="10" t="s">
        <v>321</v>
      </c>
      <c r="H51" s="10" t="s">
        <v>452</v>
      </c>
    </row>
    <row r="52" customFormat="false" ht="15" hidden="false" customHeight="false" outlineLevel="0" collapsed="false">
      <c r="A52" s="10" t="s">
        <v>453</v>
      </c>
      <c r="B52" s="10" t="s">
        <v>454</v>
      </c>
      <c r="C52" s="10" t="s">
        <v>444</v>
      </c>
      <c r="D52" s="10" t="s">
        <v>445</v>
      </c>
      <c r="E52" s="10" t="s">
        <v>244</v>
      </c>
      <c r="F52" s="10" t="s">
        <v>114</v>
      </c>
      <c r="G52" s="10" t="s">
        <v>321</v>
      </c>
      <c r="H52" s="10" t="s">
        <v>455</v>
      </c>
    </row>
    <row r="53" customFormat="false" ht="15" hidden="false" customHeight="false" outlineLevel="0" collapsed="false">
      <c r="A53" s="10" t="s">
        <v>456</v>
      </c>
      <c r="B53" s="10" t="s">
        <v>457</v>
      </c>
      <c r="C53" s="10" t="s">
        <v>458</v>
      </c>
      <c r="D53" s="10" t="s">
        <v>445</v>
      </c>
      <c r="E53" s="10" t="s">
        <v>117</v>
      </c>
      <c r="F53" s="10" t="s">
        <v>114</v>
      </c>
      <c r="G53" s="10" t="s">
        <v>321</v>
      </c>
      <c r="H53" s="10" t="s">
        <v>459</v>
      </c>
    </row>
    <row r="54" customFormat="false" ht="15" hidden="false" customHeight="false" outlineLevel="0" collapsed="false">
      <c r="A54" s="10" t="s">
        <v>460</v>
      </c>
      <c r="B54" s="10" t="s">
        <v>461</v>
      </c>
      <c r="C54" s="10" t="s">
        <v>458</v>
      </c>
      <c r="D54" s="10" t="s">
        <v>445</v>
      </c>
      <c r="E54" s="10" t="s">
        <v>117</v>
      </c>
      <c r="F54" s="10" t="s">
        <v>114</v>
      </c>
      <c r="G54" s="10" t="s">
        <v>321</v>
      </c>
      <c r="H54" s="10" t="s">
        <v>462</v>
      </c>
    </row>
    <row r="55" customFormat="false" ht="15" hidden="false" customHeight="false" outlineLevel="0" collapsed="false">
      <c r="A55" s="10" t="s">
        <v>463</v>
      </c>
      <c r="B55" s="10" t="s">
        <v>464</v>
      </c>
      <c r="C55" s="10" t="s">
        <v>458</v>
      </c>
      <c r="D55" s="10" t="s">
        <v>445</v>
      </c>
      <c r="E55" s="10" t="s">
        <v>117</v>
      </c>
      <c r="F55" s="10" t="s">
        <v>114</v>
      </c>
      <c r="G55" s="10" t="s">
        <v>321</v>
      </c>
      <c r="H55" s="10" t="s">
        <v>465</v>
      </c>
    </row>
    <row r="56" customFormat="false" ht="15" hidden="false" customHeight="false" outlineLevel="0" collapsed="false">
      <c r="A56" s="10" t="s">
        <v>466</v>
      </c>
      <c r="B56" s="10" t="s">
        <v>467</v>
      </c>
      <c r="C56" s="10" t="s">
        <v>468</v>
      </c>
      <c r="D56" s="10" t="s">
        <v>445</v>
      </c>
      <c r="E56" s="10" t="s">
        <v>244</v>
      </c>
      <c r="F56" s="10" t="s">
        <v>114</v>
      </c>
      <c r="G56" s="10" t="s">
        <v>321</v>
      </c>
      <c r="H56" s="10" t="s">
        <v>469</v>
      </c>
    </row>
    <row r="57" customFormat="false" ht="15" hidden="false" customHeight="false" outlineLevel="0" collapsed="false">
      <c r="A57" s="10" t="s">
        <v>470</v>
      </c>
      <c r="B57" s="10" t="s">
        <v>471</v>
      </c>
      <c r="C57" s="10" t="s">
        <v>472</v>
      </c>
      <c r="D57" s="10" t="s">
        <v>472</v>
      </c>
      <c r="E57" s="10" t="s">
        <v>244</v>
      </c>
      <c r="F57" s="10" t="s">
        <v>114</v>
      </c>
      <c r="G57" s="10" t="s">
        <v>321</v>
      </c>
      <c r="H57" s="10" t="s">
        <v>473</v>
      </c>
    </row>
    <row r="58" customFormat="false" ht="15" hidden="false" customHeight="false" outlineLevel="0" collapsed="false">
      <c r="A58" s="10" t="s">
        <v>474</v>
      </c>
      <c r="B58" s="10" t="s">
        <v>475</v>
      </c>
      <c r="C58" s="10" t="s">
        <v>472</v>
      </c>
      <c r="D58" s="10" t="s">
        <v>472</v>
      </c>
      <c r="E58" s="10" t="s">
        <v>244</v>
      </c>
      <c r="F58" s="10" t="s">
        <v>114</v>
      </c>
      <c r="G58" s="10" t="s">
        <v>321</v>
      </c>
      <c r="H58" s="10" t="s">
        <v>476</v>
      </c>
    </row>
    <row r="59" customFormat="false" ht="15" hidden="false" customHeight="false" outlineLevel="0" collapsed="false">
      <c r="A59" s="10" t="s">
        <v>477</v>
      </c>
      <c r="B59" s="10" t="s">
        <v>478</v>
      </c>
      <c r="C59" s="10" t="s">
        <v>472</v>
      </c>
      <c r="D59" s="10" t="s">
        <v>472</v>
      </c>
      <c r="E59" s="10" t="s">
        <v>244</v>
      </c>
      <c r="F59" s="10" t="s">
        <v>114</v>
      </c>
      <c r="G59" s="10" t="s">
        <v>321</v>
      </c>
      <c r="H59" s="10" t="s">
        <v>479</v>
      </c>
    </row>
    <row r="60" customFormat="false" ht="15" hidden="false" customHeight="false" outlineLevel="0" collapsed="false">
      <c r="A60" s="10" t="s">
        <v>480</v>
      </c>
      <c r="B60" s="10" t="s">
        <v>481</v>
      </c>
      <c r="C60" s="10" t="s">
        <v>482</v>
      </c>
      <c r="D60" s="10" t="s">
        <v>482</v>
      </c>
      <c r="E60" s="10" t="s">
        <v>114</v>
      </c>
      <c r="F60" s="10" t="s">
        <v>114</v>
      </c>
      <c r="G60" s="10" t="s">
        <v>313</v>
      </c>
      <c r="H60" s="10" t="s">
        <v>483</v>
      </c>
    </row>
    <row r="61" customFormat="false" ht="15" hidden="false" customHeight="false" outlineLevel="0" collapsed="false">
      <c r="A61" s="10" t="s">
        <v>484</v>
      </c>
      <c r="B61" s="10" t="s">
        <v>485</v>
      </c>
      <c r="C61" s="10" t="s">
        <v>482</v>
      </c>
      <c r="D61" s="10" t="s">
        <v>482</v>
      </c>
      <c r="E61" s="10" t="s">
        <v>114</v>
      </c>
      <c r="F61" s="10" t="s">
        <v>114</v>
      </c>
      <c r="G61" s="10" t="s">
        <v>313</v>
      </c>
      <c r="H61" s="10" t="s">
        <v>486</v>
      </c>
    </row>
    <row r="62" customFormat="false" ht="15" hidden="false" customHeight="false" outlineLevel="0" collapsed="false">
      <c r="A62" s="10" t="s">
        <v>487</v>
      </c>
      <c r="B62" s="10" t="s">
        <v>488</v>
      </c>
      <c r="C62" s="10" t="s">
        <v>482</v>
      </c>
      <c r="D62" s="10" t="s">
        <v>482</v>
      </c>
      <c r="E62" s="10" t="s">
        <v>114</v>
      </c>
      <c r="F62" s="10" t="s">
        <v>114</v>
      </c>
      <c r="G62" s="10" t="s">
        <v>313</v>
      </c>
      <c r="H62" s="10" t="s">
        <v>489</v>
      </c>
    </row>
    <row r="63" customFormat="false" ht="15" hidden="false" customHeight="false" outlineLevel="0" collapsed="false">
      <c r="A63" s="10" t="s">
        <v>490</v>
      </c>
      <c r="B63" s="10" t="s">
        <v>491</v>
      </c>
      <c r="C63" s="10" t="s">
        <v>482</v>
      </c>
      <c r="D63" s="10" t="s">
        <v>482</v>
      </c>
      <c r="E63" s="10" t="s">
        <v>114</v>
      </c>
      <c r="F63" s="10" t="s">
        <v>114</v>
      </c>
      <c r="G63" s="10" t="s">
        <v>313</v>
      </c>
      <c r="H63" s="10" t="s">
        <v>492</v>
      </c>
    </row>
    <row r="64" customFormat="false" ht="15" hidden="false" customHeight="false" outlineLevel="0" collapsed="false">
      <c r="A64" s="10" t="s">
        <v>493</v>
      </c>
      <c r="B64" s="10" t="s">
        <v>494</v>
      </c>
      <c r="C64" s="10" t="s">
        <v>482</v>
      </c>
      <c r="D64" s="10" t="s">
        <v>482</v>
      </c>
      <c r="E64" s="10" t="s">
        <v>114</v>
      </c>
      <c r="F64" s="10" t="s">
        <v>114</v>
      </c>
      <c r="G64" s="10" t="s">
        <v>313</v>
      </c>
      <c r="H64" s="10" t="s">
        <v>495</v>
      </c>
    </row>
    <row r="65" customFormat="false" ht="15" hidden="false" customHeight="false" outlineLevel="0" collapsed="false">
      <c r="A65" s="10" t="s">
        <v>496</v>
      </c>
      <c r="B65" s="10" t="s">
        <v>497</v>
      </c>
      <c r="C65" s="10" t="s">
        <v>482</v>
      </c>
      <c r="D65" s="10" t="s">
        <v>482</v>
      </c>
      <c r="E65" s="10" t="s">
        <v>114</v>
      </c>
      <c r="F65" s="10" t="s">
        <v>114</v>
      </c>
      <c r="G65" s="10" t="s">
        <v>313</v>
      </c>
      <c r="H65" s="10" t="s">
        <v>498</v>
      </c>
    </row>
    <row r="66" customFormat="false" ht="15" hidden="false" customHeight="false" outlineLevel="0" collapsed="false">
      <c r="A66" s="10" t="s">
        <v>499</v>
      </c>
      <c r="B66" s="10" t="s">
        <v>500</v>
      </c>
      <c r="C66" s="10" t="s">
        <v>482</v>
      </c>
      <c r="D66" s="10" t="s">
        <v>482</v>
      </c>
      <c r="E66" s="10" t="s">
        <v>114</v>
      </c>
      <c r="F66" s="10" t="s">
        <v>114</v>
      </c>
      <c r="G66" s="10" t="s">
        <v>313</v>
      </c>
      <c r="H66" s="10" t="s">
        <v>501</v>
      </c>
    </row>
    <row r="67" customFormat="false" ht="15" hidden="false" customHeight="false" outlineLevel="0" collapsed="false">
      <c r="A67" s="10" t="s">
        <v>502</v>
      </c>
      <c r="B67" s="10" t="s">
        <v>503</v>
      </c>
      <c r="C67" s="10" t="s">
        <v>482</v>
      </c>
      <c r="D67" s="10" t="s">
        <v>482</v>
      </c>
      <c r="E67" s="10" t="s">
        <v>114</v>
      </c>
      <c r="F67" s="10" t="s">
        <v>114</v>
      </c>
      <c r="G67" s="10" t="s">
        <v>313</v>
      </c>
      <c r="H67" s="10" t="s">
        <v>504</v>
      </c>
    </row>
    <row r="68" customFormat="false" ht="15" hidden="false" customHeight="false" outlineLevel="0" collapsed="false">
      <c r="A68" s="10" t="s">
        <v>505</v>
      </c>
      <c r="B68" s="10" t="s">
        <v>506</v>
      </c>
      <c r="C68" s="10" t="s">
        <v>507</v>
      </c>
      <c r="D68" s="10" t="s">
        <v>482</v>
      </c>
      <c r="E68" s="10" t="s">
        <v>114</v>
      </c>
      <c r="F68" s="10" t="s">
        <v>114</v>
      </c>
      <c r="G68" s="10" t="s">
        <v>313</v>
      </c>
      <c r="H68" s="10" t="s">
        <v>508</v>
      </c>
    </row>
    <row r="69" customFormat="false" ht="15" hidden="false" customHeight="false" outlineLevel="0" collapsed="false">
      <c r="A69" s="10" t="s">
        <v>509</v>
      </c>
      <c r="B69" s="10" t="s">
        <v>510</v>
      </c>
      <c r="C69" s="10" t="s">
        <v>507</v>
      </c>
      <c r="D69" s="10" t="s">
        <v>482</v>
      </c>
      <c r="E69" s="10" t="s">
        <v>114</v>
      </c>
      <c r="F69" s="10" t="s">
        <v>114</v>
      </c>
      <c r="G69" s="10" t="s">
        <v>313</v>
      </c>
      <c r="H69" s="10" t="s">
        <v>511</v>
      </c>
    </row>
    <row r="70" customFormat="false" ht="15" hidden="false" customHeight="false" outlineLevel="0" collapsed="false">
      <c r="A70" s="10" t="s">
        <v>512</v>
      </c>
      <c r="B70" s="10" t="s">
        <v>513</v>
      </c>
      <c r="C70" s="10" t="s">
        <v>507</v>
      </c>
      <c r="D70" s="10" t="s">
        <v>482</v>
      </c>
      <c r="E70" s="10" t="s">
        <v>114</v>
      </c>
      <c r="F70" s="10" t="s">
        <v>114</v>
      </c>
      <c r="G70" s="10" t="s">
        <v>313</v>
      </c>
      <c r="H70" s="10" t="s">
        <v>514</v>
      </c>
    </row>
    <row r="71" customFormat="false" ht="15" hidden="false" customHeight="false" outlineLevel="0" collapsed="false">
      <c r="A71" s="10" t="s">
        <v>515</v>
      </c>
      <c r="B71" s="10" t="s">
        <v>516</v>
      </c>
      <c r="C71" s="10" t="s">
        <v>507</v>
      </c>
      <c r="D71" s="10" t="s">
        <v>482</v>
      </c>
      <c r="E71" s="10" t="s">
        <v>114</v>
      </c>
      <c r="F71" s="10" t="s">
        <v>114</v>
      </c>
      <c r="G71" s="10" t="s">
        <v>313</v>
      </c>
      <c r="H71" s="10" t="s">
        <v>517</v>
      </c>
    </row>
    <row r="72" customFormat="false" ht="15" hidden="false" customHeight="false" outlineLevel="0" collapsed="false">
      <c r="A72" s="10" t="s">
        <v>518</v>
      </c>
      <c r="B72" s="10" t="s">
        <v>519</v>
      </c>
      <c r="C72" s="10" t="s">
        <v>507</v>
      </c>
      <c r="D72" s="10" t="s">
        <v>482</v>
      </c>
      <c r="E72" s="10" t="s">
        <v>114</v>
      </c>
      <c r="F72" s="10" t="s">
        <v>114</v>
      </c>
      <c r="G72" s="10" t="s">
        <v>313</v>
      </c>
      <c r="H72" s="10" t="s">
        <v>520</v>
      </c>
    </row>
    <row r="73" customFormat="false" ht="15" hidden="false" customHeight="false" outlineLevel="0" collapsed="false">
      <c r="A73" s="10" t="s">
        <v>521</v>
      </c>
      <c r="B73" s="10" t="s">
        <v>522</v>
      </c>
      <c r="C73" s="10" t="s">
        <v>523</v>
      </c>
      <c r="D73" s="10" t="s">
        <v>523</v>
      </c>
      <c r="E73" s="10" t="s">
        <v>244</v>
      </c>
      <c r="F73" s="10" t="s">
        <v>114</v>
      </c>
      <c r="G73" s="10" t="s">
        <v>321</v>
      </c>
      <c r="H73" s="10" t="s">
        <v>524</v>
      </c>
    </row>
    <row r="74" customFormat="false" ht="15" hidden="false" customHeight="false" outlineLevel="0" collapsed="false">
      <c r="A74" s="10" t="s">
        <v>525</v>
      </c>
      <c r="B74" s="10" t="s">
        <v>526</v>
      </c>
      <c r="C74" s="10" t="s">
        <v>523</v>
      </c>
      <c r="D74" s="10" t="s">
        <v>523</v>
      </c>
      <c r="E74" s="10" t="s">
        <v>244</v>
      </c>
      <c r="F74" s="10" t="s">
        <v>114</v>
      </c>
      <c r="G74" s="10" t="s">
        <v>321</v>
      </c>
      <c r="H74" s="10" t="s">
        <v>527</v>
      </c>
    </row>
    <row r="75" customFormat="false" ht="15" hidden="false" customHeight="false" outlineLevel="0" collapsed="false">
      <c r="A75" s="10" t="s">
        <v>528</v>
      </c>
      <c r="B75" s="10" t="s">
        <v>529</v>
      </c>
      <c r="C75" s="10" t="s">
        <v>523</v>
      </c>
      <c r="D75" s="10" t="s">
        <v>523</v>
      </c>
      <c r="E75" s="10" t="s">
        <v>244</v>
      </c>
      <c r="F75" s="10" t="s">
        <v>114</v>
      </c>
      <c r="G75" s="10" t="s">
        <v>321</v>
      </c>
      <c r="H75" s="10" t="s">
        <v>530</v>
      </c>
    </row>
    <row r="76" customFormat="false" ht="15" hidden="false" customHeight="false" outlineLevel="0" collapsed="false">
      <c r="A76" s="10" t="s">
        <v>531</v>
      </c>
      <c r="B76" s="10" t="s">
        <v>532</v>
      </c>
      <c r="C76" s="10" t="s">
        <v>523</v>
      </c>
      <c r="D76" s="10" t="s">
        <v>523</v>
      </c>
      <c r="E76" s="10" t="s">
        <v>244</v>
      </c>
      <c r="F76" s="10" t="s">
        <v>114</v>
      </c>
      <c r="G76" s="10" t="s">
        <v>321</v>
      </c>
      <c r="H76" s="10" t="s">
        <v>533</v>
      </c>
    </row>
    <row r="77" customFormat="false" ht="15" hidden="false" customHeight="false" outlineLevel="0" collapsed="false">
      <c r="A77" s="10" t="s">
        <v>534</v>
      </c>
      <c r="B77" s="10" t="s">
        <v>535</v>
      </c>
      <c r="C77" s="10" t="s">
        <v>523</v>
      </c>
      <c r="D77" s="10" t="s">
        <v>523</v>
      </c>
      <c r="E77" s="10" t="s">
        <v>244</v>
      </c>
      <c r="F77" s="10" t="s">
        <v>114</v>
      </c>
      <c r="G77" s="10" t="s">
        <v>321</v>
      </c>
      <c r="H77" s="10" t="s">
        <v>536</v>
      </c>
    </row>
    <row r="78" customFormat="false" ht="15" hidden="false" customHeight="false" outlineLevel="0" collapsed="false">
      <c r="A78" s="10" t="s">
        <v>537</v>
      </c>
      <c r="B78" s="10" t="s">
        <v>538</v>
      </c>
      <c r="C78" s="10" t="s">
        <v>523</v>
      </c>
      <c r="D78" s="10" t="s">
        <v>523</v>
      </c>
      <c r="E78" s="10" t="s">
        <v>244</v>
      </c>
      <c r="F78" s="10" t="s">
        <v>114</v>
      </c>
      <c r="G78" s="10" t="s">
        <v>321</v>
      </c>
      <c r="H78" s="10" t="s">
        <v>539</v>
      </c>
    </row>
    <row r="79" customFormat="false" ht="15" hidden="false" customHeight="false" outlineLevel="0" collapsed="false">
      <c r="A79" s="10" t="s">
        <v>540</v>
      </c>
      <c r="B79" s="10" t="s">
        <v>541</v>
      </c>
      <c r="C79" s="10" t="s">
        <v>482</v>
      </c>
      <c r="D79" s="10" t="s">
        <v>482</v>
      </c>
      <c r="E79" s="10" t="s">
        <v>244</v>
      </c>
      <c r="F79" s="10" t="s">
        <v>114</v>
      </c>
      <c r="G79" s="10" t="s">
        <v>321</v>
      </c>
      <c r="H79" s="10" t="s">
        <v>542</v>
      </c>
    </row>
    <row r="80" customFormat="false" ht="15" hidden="false" customHeight="false" outlineLevel="0" collapsed="false">
      <c r="A80" s="10" t="s">
        <v>543</v>
      </c>
      <c r="B80" s="10" t="s">
        <v>544</v>
      </c>
      <c r="C80" s="10" t="s">
        <v>545</v>
      </c>
      <c r="D80" s="10" t="s">
        <v>545</v>
      </c>
      <c r="E80" s="10" t="s">
        <v>114</v>
      </c>
      <c r="F80" s="10" t="s">
        <v>114</v>
      </c>
      <c r="G80" s="10" t="s">
        <v>313</v>
      </c>
      <c r="H80" s="10" t="s">
        <v>546</v>
      </c>
    </row>
    <row r="81" customFormat="false" ht="15" hidden="false" customHeight="false" outlineLevel="0" collapsed="false">
      <c r="A81" s="10" t="s">
        <v>547</v>
      </c>
      <c r="B81" s="10" t="s">
        <v>548</v>
      </c>
      <c r="C81" s="10" t="s">
        <v>545</v>
      </c>
      <c r="D81" s="10" t="s">
        <v>545</v>
      </c>
      <c r="E81" s="10" t="s">
        <v>244</v>
      </c>
      <c r="F81" s="10" t="s">
        <v>114</v>
      </c>
      <c r="G81" s="10" t="s">
        <v>321</v>
      </c>
      <c r="H81" s="10" t="s">
        <v>549</v>
      </c>
    </row>
    <row r="82" customFormat="false" ht="15" hidden="false" customHeight="false" outlineLevel="0" collapsed="false">
      <c r="A82" s="10" t="s">
        <v>550</v>
      </c>
      <c r="B82" s="10" t="s">
        <v>551</v>
      </c>
      <c r="C82" s="10" t="s">
        <v>545</v>
      </c>
      <c r="D82" s="10" t="s">
        <v>545</v>
      </c>
      <c r="E82" s="10" t="s">
        <v>244</v>
      </c>
      <c r="F82" s="10" t="s">
        <v>114</v>
      </c>
      <c r="G82" s="10" t="s">
        <v>321</v>
      </c>
      <c r="H82" s="10" t="s">
        <v>552</v>
      </c>
    </row>
    <row r="83" customFormat="false" ht="15" hidden="false" customHeight="false" outlineLevel="0" collapsed="false">
      <c r="A83" s="10" t="s">
        <v>553</v>
      </c>
      <c r="B83" s="10" t="s">
        <v>554</v>
      </c>
      <c r="C83" s="10" t="s">
        <v>545</v>
      </c>
      <c r="D83" s="10" t="s">
        <v>545</v>
      </c>
      <c r="E83" s="10" t="s">
        <v>244</v>
      </c>
      <c r="F83" s="10" t="s">
        <v>114</v>
      </c>
      <c r="G83" s="10" t="s">
        <v>321</v>
      </c>
      <c r="H83" s="10" t="s">
        <v>555</v>
      </c>
    </row>
    <row r="84" customFormat="false" ht="15" hidden="false" customHeight="false" outlineLevel="0" collapsed="false">
      <c r="A84" s="10" t="s">
        <v>556</v>
      </c>
      <c r="B84" s="10" t="s">
        <v>557</v>
      </c>
      <c r="C84" s="10" t="s">
        <v>545</v>
      </c>
      <c r="D84" s="10" t="s">
        <v>545</v>
      </c>
      <c r="E84" s="10" t="s">
        <v>244</v>
      </c>
      <c r="F84" s="10" t="s">
        <v>114</v>
      </c>
      <c r="G84" s="10" t="s">
        <v>321</v>
      </c>
      <c r="H84" s="10" t="s">
        <v>558</v>
      </c>
    </row>
    <row r="85" customFormat="false" ht="15" hidden="false" customHeight="false" outlineLevel="0" collapsed="false">
      <c r="A85" s="10" t="s">
        <v>559</v>
      </c>
      <c r="B85" s="10" t="s">
        <v>560</v>
      </c>
      <c r="C85" s="10" t="s">
        <v>545</v>
      </c>
      <c r="D85" s="10" t="s">
        <v>545</v>
      </c>
      <c r="E85" s="10" t="s">
        <v>244</v>
      </c>
      <c r="F85" s="10" t="s">
        <v>114</v>
      </c>
      <c r="G85" s="10" t="s">
        <v>321</v>
      </c>
      <c r="H85" s="10" t="s">
        <v>561</v>
      </c>
    </row>
    <row r="86" customFormat="false" ht="15" hidden="false" customHeight="false" outlineLevel="0" collapsed="false">
      <c r="A86" s="10" t="s">
        <v>562</v>
      </c>
      <c r="B86" s="10" t="s">
        <v>563</v>
      </c>
      <c r="C86" s="10" t="s">
        <v>545</v>
      </c>
      <c r="D86" s="10" t="s">
        <v>545</v>
      </c>
      <c r="E86" s="10" t="s">
        <v>244</v>
      </c>
      <c r="F86" s="10" t="s">
        <v>114</v>
      </c>
      <c r="G86" s="10" t="s">
        <v>321</v>
      </c>
      <c r="H86" s="10" t="s">
        <v>564</v>
      </c>
    </row>
    <row r="87" customFormat="false" ht="15" hidden="false" customHeight="false" outlineLevel="0" collapsed="false">
      <c r="A87" s="10" t="s">
        <v>565</v>
      </c>
      <c r="B87" s="10" t="s">
        <v>566</v>
      </c>
      <c r="C87" s="10" t="s">
        <v>482</v>
      </c>
      <c r="D87" s="10" t="s">
        <v>567</v>
      </c>
      <c r="E87" s="10" t="s">
        <v>114</v>
      </c>
      <c r="F87" s="10" t="s">
        <v>114</v>
      </c>
      <c r="G87" s="10" t="s">
        <v>313</v>
      </c>
      <c r="H87" s="10" t="s">
        <v>568</v>
      </c>
    </row>
    <row r="88" customFormat="false" ht="15" hidden="false" customHeight="false" outlineLevel="0" collapsed="false">
      <c r="A88" s="10" t="s">
        <v>569</v>
      </c>
      <c r="B88" s="10" t="s">
        <v>570</v>
      </c>
      <c r="C88" s="10" t="s">
        <v>545</v>
      </c>
      <c r="D88" s="10" t="s">
        <v>567</v>
      </c>
      <c r="E88" s="10" t="s">
        <v>114</v>
      </c>
      <c r="F88" s="10" t="s">
        <v>114</v>
      </c>
      <c r="G88" s="10" t="s">
        <v>313</v>
      </c>
      <c r="H88" s="10" t="s">
        <v>568</v>
      </c>
    </row>
    <row r="89" customFormat="false" ht="15" hidden="false" customHeight="false" outlineLevel="0" collapsed="false">
      <c r="A89" s="10" t="s">
        <v>571</v>
      </c>
      <c r="B89" s="10" t="s">
        <v>572</v>
      </c>
      <c r="C89" s="10" t="s">
        <v>573</v>
      </c>
      <c r="D89" s="10" t="s">
        <v>567</v>
      </c>
      <c r="E89" s="10" t="s">
        <v>114</v>
      </c>
      <c r="F89" s="10" t="s">
        <v>114</v>
      </c>
      <c r="G89" s="10" t="s">
        <v>313</v>
      </c>
      <c r="H89" s="10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13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8" t="s">
        <v>575</v>
      </c>
    </row>
    <row r="2" customFormat="false" ht="15" hidden="false" customHeight="false" outlineLevel="0" collapsed="false">
      <c r="A2" s="2" t="s">
        <v>576</v>
      </c>
    </row>
    <row r="4" customFormat="false" ht="15" hidden="false" customHeight="false" outlineLevel="0" collapsed="false">
      <c r="A4" s="9" t="s">
        <v>301</v>
      </c>
      <c r="B4" s="9" t="s">
        <v>577</v>
      </c>
      <c r="C4" s="9" t="s">
        <v>303</v>
      </c>
      <c r="D4" s="9" t="s">
        <v>578</v>
      </c>
      <c r="E4" s="9" t="s">
        <v>579</v>
      </c>
    </row>
    <row r="5" customFormat="false" ht="15" hidden="false" customHeight="false" outlineLevel="0" collapsed="false">
      <c r="A5" s="10" t="s">
        <v>318</v>
      </c>
      <c r="B5" s="10" t="s">
        <v>319</v>
      </c>
      <c r="C5" s="10" t="s">
        <v>320</v>
      </c>
      <c r="D5" s="16" t="n">
        <v>250000</v>
      </c>
      <c r="E5" s="16" t="n">
        <v>0</v>
      </c>
    </row>
    <row r="6" customFormat="false" ht="15" hidden="false" customHeight="false" outlineLevel="0" collapsed="false">
      <c r="A6" s="10" t="s">
        <v>323</v>
      </c>
      <c r="B6" s="10" t="s">
        <v>324</v>
      </c>
      <c r="C6" s="10" t="s">
        <v>320</v>
      </c>
      <c r="D6" s="16" t="n">
        <v>85000</v>
      </c>
      <c r="E6" s="16" t="n">
        <v>0</v>
      </c>
    </row>
    <row r="7" customFormat="false" ht="15" hidden="false" customHeight="false" outlineLevel="0" collapsed="false">
      <c r="A7" s="10" t="s">
        <v>336</v>
      </c>
      <c r="B7" s="10" t="s">
        <v>337</v>
      </c>
      <c r="C7" s="10" t="s">
        <v>320</v>
      </c>
      <c r="D7" s="16" t="n">
        <v>1850000</v>
      </c>
      <c r="E7" s="16" t="n">
        <v>0</v>
      </c>
    </row>
    <row r="8" customFormat="false" ht="15" hidden="false" customHeight="false" outlineLevel="0" collapsed="false">
      <c r="A8" s="10" t="s">
        <v>339</v>
      </c>
      <c r="B8" s="10" t="s">
        <v>340</v>
      </c>
      <c r="C8" s="10" t="s">
        <v>320</v>
      </c>
      <c r="D8" s="16" t="n">
        <v>2100000</v>
      </c>
      <c r="E8" s="16" t="n">
        <v>0</v>
      </c>
    </row>
    <row r="9" customFormat="false" ht="15" hidden="false" customHeight="false" outlineLevel="0" collapsed="false">
      <c r="A9" s="10" t="s">
        <v>342</v>
      </c>
      <c r="B9" s="10" t="s">
        <v>343</v>
      </c>
      <c r="C9" s="10" t="s">
        <v>320</v>
      </c>
      <c r="D9" s="16" t="n">
        <v>920000</v>
      </c>
      <c r="E9" s="16" t="n">
        <v>0</v>
      </c>
    </row>
    <row r="10" customFormat="false" ht="15" hidden="false" customHeight="false" outlineLevel="0" collapsed="false">
      <c r="A10" s="10" t="s">
        <v>355</v>
      </c>
      <c r="B10" s="10" t="s">
        <v>356</v>
      </c>
      <c r="C10" s="10" t="s">
        <v>334</v>
      </c>
      <c r="D10" s="16" t="n">
        <v>2400000</v>
      </c>
      <c r="E10" s="16" t="n">
        <v>0</v>
      </c>
    </row>
    <row r="11" customFormat="false" ht="15" hidden="false" customHeight="false" outlineLevel="0" collapsed="false">
      <c r="A11" s="10" t="s">
        <v>358</v>
      </c>
      <c r="B11" s="10" t="s">
        <v>359</v>
      </c>
      <c r="C11" s="10" t="s">
        <v>334</v>
      </c>
      <c r="D11" s="16" t="n">
        <v>1350000</v>
      </c>
      <c r="E11" s="16" t="n">
        <v>0</v>
      </c>
    </row>
    <row r="12" customFormat="false" ht="15" hidden="false" customHeight="false" outlineLevel="0" collapsed="false">
      <c r="A12" s="10" t="s">
        <v>361</v>
      </c>
      <c r="B12" s="10" t="s">
        <v>362</v>
      </c>
      <c r="C12" s="10" t="s">
        <v>334</v>
      </c>
      <c r="D12" s="16" t="n">
        <v>580000</v>
      </c>
      <c r="E12" s="16" t="n">
        <v>0</v>
      </c>
    </row>
    <row r="13" customFormat="false" ht="15" hidden="false" customHeight="false" outlineLevel="0" collapsed="false">
      <c r="A13" s="10" t="s">
        <v>364</v>
      </c>
      <c r="B13" s="10" t="s">
        <v>365</v>
      </c>
      <c r="C13" s="10" t="s">
        <v>366</v>
      </c>
      <c r="D13" s="16" t="n">
        <v>240000</v>
      </c>
      <c r="E13" s="16" t="n">
        <v>0</v>
      </c>
    </row>
    <row r="14" customFormat="false" ht="15" hidden="false" customHeight="false" outlineLevel="0" collapsed="false">
      <c r="A14" s="10" t="s">
        <v>368</v>
      </c>
      <c r="B14" s="10" t="s">
        <v>369</v>
      </c>
      <c r="C14" s="10" t="s">
        <v>311</v>
      </c>
      <c r="D14" s="16" t="n">
        <v>95000</v>
      </c>
      <c r="E14" s="16" t="n">
        <v>0</v>
      </c>
    </row>
    <row r="15" customFormat="false" ht="15" hidden="false" customHeight="false" outlineLevel="0" collapsed="false">
      <c r="A15" s="10" t="s">
        <v>371</v>
      </c>
      <c r="B15" s="10" t="s">
        <v>372</v>
      </c>
      <c r="C15" s="10" t="s">
        <v>311</v>
      </c>
      <c r="D15" s="16" t="n">
        <v>4248100</v>
      </c>
      <c r="E15" s="16" t="n">
        <v>0</v>
      </c>
    </row>
    <row r="16" customFormat="false" ht="15" hidden="false" customHeight="false" outlineLevel="0" collapsed="false">
      <c r="A16" s="10" t="s">
        <v>374</v>
      </c>
      <c r="B16" s="10" t="s">
        <v>375</v>
      </c>
      <c r="C16" s="10" t="s">
        <v>311</v>
      </c>
      <c r="D16" s="16" t="n">
        <v>3843200</v>
      </c>
      <c r="E16" s="16" t="n">
        <v>0</v>
      </c>
    </row>
    <row r="17" customFormat="false" ht="15" hidden="false" customHeight="false" outlineLevel="0" collapsed="false">
      <c r="A17" s="10" t="s">
        <v>377</v>
      </c>
      <c r="B17" s="10" t="s">
        <v>378</v>
      </c>
      <c r="C17" s="10" t="s">
        <v>311</v>
      </c>
      <c r="D17" s="16" t="n">
        <v>3780350</v>
      </c>
      <c r="E17" s="16" t="n">
        <v>0</v>
      </c>
    </row>
    <row r="18" customFormat="false" ht="15" hidden="false" customHeight="false" outlineLevel="0" collapsed="false">
      <c r="A18" s="10" t="s">
        <v>380</v>
      </c>
      <c r="B18" s="10" t="s">
        <v>381</v>
      </c>
      <c r="C18" s="10" t="s">
        <v>311</v>
      </c>
      <c r="D18" s="16" t="n">
        <v>3248250</v>
      </c>
      <c r="E18" s="16" t="n">
        <v>0</v>
      </c>
    </row>
    <row r="19" customFormat="false" ht="15" hidden="false" customHeight="false" outlineLevel="0" collapsed="false">
      <c r="A19" s="10" t="s">
        <v>383</v>
      </c>
      <c r="B19" s="10" t="s">
        <v>384</v>
      </c>
      <c r="C19" s="10" t="s">
        <v>311</v>
      </c>
      <c r="D19" s="16" t="n">
        <v>1394050</v>
      </c>
      <c r="E19" s="16" t="n">
        <v>0</v>
      </c>
    </row>
    <row r="20" customFormat="false" ht="15" hidden="false" customHeight="false" outlineLevel="0" collapsed="false">
      <c r="A20" s="10" t="s">
        <v>386</v>
      </c>
      <c r="B20" s="10" t="s">
        <v>387</v>
      </c>
      <c r="C20" s="10" t="s">
        <v>311</v>
      </c>
      <c r="D20" s="16" t="n">
        <v>1545550</v>
      </c>
      <c r="E20" s="16" t="n">
        <v>0</v>
      </c>
    </row>
    <row r="21" customFormat="false" ht="15" hidden="false" customHeight="false" outlineLevel="0" collapsed="false">
      <c r="A21" s="10" t="s">
        <v>389</v>
      </c>
      <c r="B21" s="10" t="s">
        <v>390</v>
      </c>
      <c r="C21" s="10" t="s">
        <v>311</v>
      </c>
      <c r="D21" s="16" t="n">
        <v>926951.5</v>
      </c>
      <c r="E21" s="16" t="n">
        <v>0</v>
      </c>
    </row>
    <row r="22" customFormat="false" ht="15" hidden="false" customHeight="false" outlineLevel="0" collapsed="false">
      <c r="A22" s="10" t="s">
        <v>392</v>
      </c>
      <c r="B22" s="10" t="s">
        <v>393</v>
      </c>
      <c r="C22" s="10" t="s">
        <v>311</v>
      </c>
      <c r="D22" s="16" t="n">
        <v>1438325</v>
      </c>
      <c r="E22" s="16" t="n">
        <v>0</v>
      </c>
    </row>
    <row r="23" customFormat="false" ht="15" hidden="false" customHeight="false" outlineLevel="0" collapsed="false">
      <c r="A23" s="10" t="s">
        <v>416</v>
      </c>
      <c r="B23" s="10" t="s">
        <v>417</v>
      </c>
      <c r="C23" s="10" t="s">
        <v>418</v>
      </c>
      <c r="D23" s="16" t="n">
        <v>4800000</v>
      </c>
      <c r="E23" s="16" t="n">
        <v>0</v>
      </c>
    </row>
    <row r="24" customFormat="false" ht="15" hidden="false" customHeight="false" outlineLevel="0" collapsed="false">
      <c r="A24" s="10" t="s">
        <v>420</v>
      </c>
      <c r="B24" s="10" t="s">
        <v>421</v>
      </c>
      <c r="C24" s="10" t="s">
        <v>418</v>
      </c>
      <c r="D24" s="16" t="n">
        <v>1850000</v>
      </c>
      <c r="E24" s="16" t="n">
        <v>0</v>
      </c>
    </row>
    <row r="25" customFormat="false" ht="15" hidden="false" customHeight="false" outlineLevel="0" collapsed="false">
      <c r="A25" s="10" t="s">
        <v>422</v>
      </c>
      <c r="B25" s="10" t="s">
        <v>423</v>
      </c>
      <c r="C25" s="10" t="s">
        <v>418</v>
      </c>
      <c r="D25" s="16" t="n">
        <v>2400000</v>
      </c>
      <c r="E25" s="16" t="n">
        <v>0</v>
      </c>
    </row>
    <row r="26" customFormat="false" ht="15" hidden="false" customHeight="false" outlineLevel="0" collapsed="false">
      <c r="A26" s="10" t="s">
        <v>424</v>
      </c>
      <c r="B26" s="10" t="s">
        <v>425</v>
      </c>
      <c r="C26" s="10" t="s">
        <v>418</v>
      </c>
      <c r="D26" s="16" t="n">
        <v>620000</v>
      </c>
      <c r="E26" s="16" t="n">
        <v>0</v>
      </c>
    </row>
    <row r="27" customFormat="false" ht="15" hidden="false" customHeight="false" outlineLevel="0" collapsed="false">
      <c r="A27" s="10" t="s">
        <v>426</v>
      </c>
      <c r="B27" s="10" t="s">
        <v>427</v>
      </c>
      <c r="C27" s="10" t="s">
        <v>418</v>
      </c>
      <c r="D27" s="16" t="n">
        <v>510000</v>
      </c>
      <c r="E27" s="16" t="n">
        <v>0</v>
      </c>
    </row>
    <row r="28" customFormat="false" ht="15" hidden="false" customHeight="false" outlineLevel="0" collapsed="false">
      <c r="A28" s="10" t="s">
        <v>428</v>
      </c>
      <c r="B28" s="10" t="s">
        <v>429</v>
      </c>
      <c r="C28" s="10" t="s">
        <v>418</v>
      </c>
      <c r="D28" s="16" t="n">
        <v>0</v>
      </c>
      <c r="E28" s="16" t="n">
        <v>400000</v>
      </c>
    </row>
    <row r="29" customFormat="false" ht="15" hidden="false" customHeight="false" outlineLevel="0" collapsed="false">
      <c r="A29" s="10" t="s">
        <v>431</v>
      </c>
      <c r="B29" s="10" t="s">
        <v>432</v>
      </c>
      <c r="C29" s="10" t="s">
        <v>418</v>
      </c>
      <c r="D29" s="16" t="n">
        <v>0</v>
      </c>
      <c r="E29" s="16" t="n">
        <v>300000</v>
      </c>
    </row>
    <row r="30" customFormat="false" ht="15" hidden="false" customHeight="false" outlineLevel="0" collapsed="false">
      <c r="A30" s="10" t="s">
        <v>433</v>
      </c>
      <c r="B30" s="10" t="s">
        <v>434</v>
      </c>
      <c r="C30" s="10" t="s">
        <v>418</v>
      </c>
      <c r="D30" s="16" t="n">
        <v>0</v>
      </c>
      <c r="E30" s="16" t="n">
        <v>250000</v>
      </c>
    </row>
    <row r="31" customFormat="false" ht="15" hidden="false" customHeight="false" outlineLevel="0" collapsed="false">
      <c r="A31" s="10" t="s">
        <v>435</v>
      </c>
      <c r="B31" s="10" t="s">
        <v>436</v>
      </c>
      <c r="C31" s="10" t="s">
        <v>418</v>
      </c>
      <c r="D31" s="16" t="n">
        <v>0</v>
      </c>
      <c r="E31" s="16" t="n">
        <v>80000</v>
      </c>
    </row>
    <row r="32" customFormat="false" ht="15" hidden="false" customHeight="false" outlineLevel="0" collapsed="false">
      <c r="A32" s="10" t="s">
        <v>437</v>
      </c>
      <c r="B32" s="10" t="s">
        <v>438</v>
      </c>
      <c r="C32" s="10" t="s">
        <v>418</v>
      </c>
      <c r="D32" s="16" t="n">
        <v>0</v>
      </c>
      <c r="E32" s="16" t="n">
        <v>70000</v>
      </c>
    </row>
    <row r="33" customFormat="false" ht="15" hidden="false" customHeight="false" outlineLevel="0" collapsed="false">
      <c r="A33" s="10" t="s">
        <v>442</v>
      </c>
      <c r="B33" s="10" t="s">
        <v>443</v>
      </c>
      <c r="C33" s="10" t="s">
        <v>444</v>
      </c>
      <c r="D33" s="16" t="n">
        <v>0</v>
      </c>
      <c r="E33" s="16" t="n">
        <v>410000</v>
      </c>
    </row>
    <row r="34" customFormat="false" ht="15" hidden="false" customHeight="false" outlineLevel="0" collapsed="false">
      <c r="A34" s="10" t="s">
        <v>447</v>
      </c>
      <c r="B34" s="10" t="s">
        <v>448</v>
      </c>
      <c r="C34" s="10" t="s">
        <v>444</v>
      </c>
      <c r="D34" s="16" t="n">
        <v>0</v>
      </c>
      <c r="E34" s="16" t="n">
        <v>58000</v>
      </c>
    </row>
    <row r="35" customFormat="false" ht="15" hidden="false" customHeight="false" outlineLevel="0" collapsed="false">
      <c r="A35" s="10" t="s">
        <v>450</v>
      </c>
      <c r="B35" s="10" t="s">
        <v>451</v>
      </c>
      <c r="C35" s="10" t="s">
        <v>444</v>
      </c>
      <c r="D35" s="16" t="n">
        <v>0</v>
      </c>
      <c r="E35" s="16" t="n">
        <v>135000</v>
      </c>
    </row>
    <row r="36" customFormat="false" ht="15" hidden="false" customHeight="false" outlineLevel="0" collapsed="false">
      <c r="A36" s="10" t="s">
        <v>456</v>
      </c>
      <c r="B36" s="10" t="s">
        <v>457</v>
      </c>
      <c r="C36" s="10" t="s">
        <v>458</v>
      </c>
      <c r="D36" s="16" t="n">
        <v>0</v>
      </c>
      <c r="E36" s="16" t="n">
        <v>2850000</v>
      </c>
    </row>
    <row r="37" customFormat="false" ht="15" hidden="false" customHeight="false" outlineLevel="0" collapsed="false">
      <c r="A37" s="10" t="s">
        <v>460</v>
      </c>
      <c r="B37" s="10" t="s">
        <v>461</v>
      </c>
      <c r="C37" s="10" t="s">
        <v>458</v>
      </c>
      <c r="D37" s="16" t="n">
        <v>0</v>
      </c>
      <c r="E37" s="16" t="n">
        <v>1950000</v>
      </c>
    </row>
    <row r="38" customFormat="false" ht="15" hidden="false" customHeight="false" outlineLevel="0" collapsed="false">
      <c r="A38" s="10" t="s">
        <v>463</v>
      </c>
      <c r="B38" s="10" t="s">
        <v>464</v>
      </c>
      <c r="C38" s="10" t="s">
        <v>458</v>
      </c>
      <c r="D38" s="16" t="n">
        <v>0</v>
      </c>
      <c r="E38" s="16" t="n">
        <v>720000</v>
      </c>
    </row>
    <row r="39" customFormat="false" ht="15" hidden="false" customHeight="false" outlineLevel="0" collapsed="false">
      <c r="A39" s="10" t="s">
        <v>466</v>
      </c>
      <c r="B39" s="10" t="s">
        <v>467</v>
      </c>
      <c r="C39" s="10" t="s">
        <v>468</v>
      </c>
      <c r="D39" s="16" t="n">
        <v>0</v>
      </c>
      <c r="E39" s="16" t="n">
        <v>2800000</v>
      </c>
    </row>
    <row r="40" customFormat="false" ht="15" hidden="false" customHeight="false" outlineLevel="0" collapsed="false">
      <c r="A40" s="10" t="s">
        <v>470</v>
      </c>
      <c r="B40" s="10" t="s">
        <v>471</v>
      </c>
      <c r="C40" s="10" t="s">
        <v>472</v>
      </c>
      <c r="D40" s="16" t="n">
        <v>0</v>
      </c>
      <c r="E40" s="16" t="n">
        <v>25000000</v>
      </c>
    </row>
    <row r="41" customFormat="false" ht="15" hidden="false" customHeight="false" outlineLevel="0" collapsed="false">
      <c r="A41" s="10" t="s">
        <v>474</v>
      </c>
      <c r="B41" s="10" t="s">
        <v>475</v>
      </c>
      <c r="C41" s="10" t="s">
        <v>472</v>
      </c>
      <c r="D41" s="16" t="n">
        <v>0</v>
      </c>
      <c r="E41" s="16" t="n">
        <v>1250000</v>
      </c>
    </row>
    <row r="42" customFormat="false" ht="15" hidden="false" customHeight="false" outlineLevel="0" collapsed="false">
      <c r="A42" s="10" t="s">
        <v>477</v>
      </c>
      <c r="B42" s="10" t="s">
        <v>478</v>
      </c>
      <c r="C42" s="10" t="s">
        <v>472</v>
      </c>
      <c r="D42" s="16" t="n">
        <v>0</v>
      </c>
      <c r="E42" s="16" t="n">
        <v>4201776.5</v>
      </c>
    </row>
    <row r="43" customFormat="false" ht="15" hidden="false" customHeight="false" outlineLevel="0" collapsed="false">
      <c r="A43" s="13" t="s">
        <v>298</v>
      </c>
      <c r="B43" s="14"/>
      <c r="C43" s="14"/>
      <c r="D43" s="17" t="n">
        <f aca="false">SUM(D5:D42)</f>
        <v>40474776.5</v>
      </c>
      <c r="E43" s="17" t="n">
        <f aca="false">SUM(E5:E42)</f>
        <v>40474776.5</v>
      </c>
    </row>
    <row r="45" customFormat="false" ht="15" hidden="false" customHeight="false" outlineLevel="0" collapsed="false">
      <c r="C45" s="6" t="s">
        <v>580</v>
      </c>
      <c r="D45" s="18" t="n">
        <f aca="false">D43-E43</f>
        <v>0</v>
      </c>
      <c r="E45" s="4" t="str">
        <f aca="false">IF(ABS(D45)&lt;0.01,"Balanced","Not balanced")</f>
        <v>Balanced</v>
      </c>
    </row>
    <row r="46" customFormat="false" ht="15" hidden="false" customHeight="false" outlineLevel="0" collapsed="false">
      <c r="C46" s="6" t="s">
        <v>581</v>
      </c>
    </row>
    <row r="47" customFormat="false" ht="15" hidden="false" customHeight="false" outlineLevel="0" collapsed="false">
      <c r="C47" s="5" t="s">
        <v>582</v>
      </c>
      <c r="D47" s="18" t="n">
        <v>25000000</v>
      </c>
    </row>
    <row r="48" customFormat="false" ht="15" hidden="false" customHeight="false" outlineLevel="0" collapsed="false">
      <c r="C48" s="5" t="s">
        <v>583</v>
      </c>
      <c r="D48" s="18" t="n">
        <v>1250000</v>
      </c>
    </row>
    <row r="49" customFormat="false" ht="15" hidden="false" customHeight="false" outlineLevel="0" collapsed="false">
      <c r="C49" s="5" t="s">
        <v>584</v>
      </c>
      <c r="D49" s="18" t="n">
        <v>4201776.5</v>
      </c>
    </row>
    <row r="50" customFormat="false" ht="15" hidden="false" customHeight="false" outlineLevel="0" collapsed="false">
      <c r="C50" s="6" t="s">
        <v>585</v>
      </c>
      <c r="D50" s="19" t="n">
        <f aca="false">SUM(D47:D49)</f>
        <v>30451776.5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8" t="s">
        <v>586</v>
      </c>
    </row>
    <row r="2" customFormat="false" ht="15" hidden="false" customHeight="false" outlineLevel="0" collapsed="false">
      <c r="A2" s="2" t="s">
        <v>587</v>
      </c>
    </row>
    <row r="4" customFormat="false" ht="15" hidden="false" customHeight="false" outlineLevel="0" collapsed="false">
      <c r="A4" s="9" t="s">
        <v>588</v>
      </c>
      <c r="B4" s="9" t="s">
        <v>303</v>
      </c>
      <c r="C4" s="9" t="s">
        <v>577</v>
      </c>
      <c r="D4" s="9" t="s">
        <v>306</v>
      </c>
      <c r="E4" s="9" t="s">
        <v>589</v>
      </c>
      <c r="F4" s="9" t="s">
        <v>578</v>
      </c>
      <c r="G4" s="9" t="s">
        <v>579</v>
      </c>
    </row>
    <row r="5" customFormat="false" ht="15" hidden="false" customHeight="false" outlineLevel="0" collapsed="false">
      <c r="A5" s="10" t="s">
        <v>590</v>
      </c>
      <c r="B5" s="10" t="s">
        <v>591</v>
      </c>
      <c r="C5" s="10" t="s">
        <v>355</v>
      </c>
      <c r="D5" s="10" t="s">
        <v>79</v>
      </c>
      <c r="E5" s="16"/>
      <c r="F5" s="16" t="n">
        <v>520000</v>
      </c>
      <c r="G5" s="16" t="n">
        <v>0</v>
      </c>
    </row>
    <row r="6" customFormat="false" ht="15" hidden="false" customHeight="false" outlineLevel="0" collapsed="false">
      <c r="A6" s="10" t="s">
        <v>592</v>
      </c>
      <c r="B6" s="10" t="s">
        <v>591</v>
      </c>
      <c r="C6" s="10" t="s">
        <v>355</v>
      </c>
      <c r="D6" s="10" t="s">
        <v>79</v>
      </c>
      <c r="E6" s="16"/>
      <c r="F6" s="16" t="n">
        <v>310000</v>
      </c>
      <c r="G6" s="16" t="n">
        <v>0</v>
      </c>
    </row>
    <row r="7" customFormat="false" ht="15" hidden="false" customHeight="false" outlineLevel="0" collapsed="false">
      <c r="A7" s="10" t="s">
        <v>593</v>
      </c>
      <c r="B7" s="10" t="s">
        <v>591</v>
      </c>
      <c r="C7" s="10" t="s">
        <v>355</v>
      </c>
      <c r="D7" s="10" t="s">
        <v>79</v>
      </c>
      <c r="E7" s="16"/>
      <c r="F7" s="16" t="n">
        <v>180000</v>
      </c>
      <c r="G7" s="16" t="n">
        <v>0</v>
      </c>
    </row>
    <row r="8" customFormat="false" ht="15" hidden="false" customHeight="false" outlineLevel="0" collapsed="false">
      <c r="A8" s="10" t="s">
        <v>594</v>
      </c>
      <c r="B8" s="10" t="s">
        <v>591</v>
      </c>
      <c r="C8" s="10" t="s">
        <v>355</v>
      </c>
      <c r="D8" s="10" t="s">
        <v>79</v>
      </c>
      <c r="E8" s="16"/>
      <c r="F8" s="16" t="n">
        <v>420000</v>
      </c>
      <c r="G8" s="16" t="n">
        <v>0</v>
      </c>
    </row>
    <row r="9" customFormat="false" ht="15" hidden="false" customHeight="false" outlineLevel="0" collapsed="false">
      <c r="A9" s="10" t="s">
        <v>595</v>
      </c>
      <c r="B9" s="10" t="s">
        <v>591</v>
      </c>
      <c r="C9" s="10" t="s">
        <v>355</v>
      </c>
      <c r="D9" s="10" t="s">
        <v>79</v>
      </c>
      <c r="E9" s="16"/>
      <c r="F9" s="16" t="n">
        <v>160000</v>
      </c>
      <c r="G9" s="16" t="n">
        <v>0</v>
      </c>
    </row>
    <row r="10" customFormat="false" ht="15" hidden="false" customHeight="false" outlineLevel="0" collapsed="false">
      <c r="A10" s="10" t="s">
        <v>596</v>
      </c>
      <c r="B10" s="10" t="s">
        <v>591</v>
      </c>
      <c r="C10" s="10" t="s">
        <v>355</v>
      </c>
      <c r="D10" s="10" t="s">
        <v>79</v>
      </c>
      <c r="E10" s="16"/>
      <c r="F10" s="16" t="n">
        <v>290000</v>
      </c>
      <c r="G10" s="16" t="n">
        <v>0</v>
      </c>
    </row>
    <row r="11" customFormat="false" ht="15" hidden="false" customHeight="false" outlineLevel="0" collapsed="false">
      <c r="A11" s="10" t="s">
        <v>597</v>
      </c>
      <c r="B11" s="10" t="s">
        <v>591</v>
      </c>
      <c r="C11" s="10" t="s">
        <v>355</v>
      </c>
      <c r="D11" s="10" t="s">
        <v>79</v>
      </c>
      <c r="E11" s="16"/>
      <c r="F11" s="16" t="n">
        <v>180000</v>
      </c>
      <c r="G11" s="16" t="n">
        <v>0</v>
      </c>
    </row>
    <row r="12" customFormat="false" ht="15" hidden="false" customHeight="false" outlineLevel="0" collapsed="false">
      <c r="A12" s="10" t="s">
        <v>598</v>
      </c>
      <c r="B12" s="10" t="s">
        <v>591</v>
      </c>
      <c r="C12" s="10" t="s">
        <v>355</v>
      </c>
      <c r="D12" s="10" t="s">
        <v>79</v>
      </c>
      <c r="E12" s="16"/>
      <c r="F12" s="16" t="n">
        <v>150000</v>
      </c>
      <c r="G12" s="16" t="n">
        <v>0</v>
      </c>
    </row>
    <row r="13" customFormat="false" ht="15" hidden="false" customHeight="false" outlineLevel="0" collapsed="false">
      <c r="A13" s="10" t="s">
        <v>599</v>
      </c>
      <c r="B13" s="10" t="s">
        <v>591</v>
      </c>
      <c r="C13" s="10" t="s">
        <v>355</v>
      </c>
      <c r="D13" s="10" t="s">
        <v>79</v>
      </c>
      <c r="E13" s="16"/>
      <c r="F13" s="16" t="n">
        <v>140000</v>
      </c>
      <c r="G13" s="16" t="n">
        <v>0</v>
      </c>
    </row>
    <row r="14" customFormat="false" ht="15" hidden="false" customHeight="false" outlineLevel="0" collapsed="false">
      <c r="A14" s="10" t="s">
        <v>600</v>
      </c>
      <c r="B14" s="10" t="s">
        <v>591</v>
      </c>
      <c r="C14" s="10" t="s">
        <v>355</v>
      </c>
      <c r="D14" s="10" t="s">
        <v>79</v>
      </c>
      <c r="E14" s="16"/>
      <c r="F14" s="16" t="n">
        <v>50000</v>
      </c>
      <c r="G14" s="16" t="n">
        <v>0</v>
      </c>
    </row>
    <row r="15" customFormat="false" ht="15" hidden="false" customHeight="false" outlineLevel="0" collapsed="false">
      <c r="A15" s="10" t="s">
        <v>601</v>
      </c>
      <c r="B15" s="10" t="s">
        <v>591</v>
      </c>
      <c r="C15" s="10" t="s">
        <v>358</v>
      </c>
      <c r="D15" s="10" t="s">
        <v>79</v>
      </c>
      <c r="E15" s="16"/>
      <c r="F15" s="16" t="n">
        <v>420000</v>
      </c>
      <c r="G15" s="16" t="n">
        <v>0</v>
      </c>
    </row>
    <row r="16" customFormat="false" ht="15" hidden="false" customHeight="false" outlineLevel="0" collapsed="false">
      <c r="A16" s="10" t="s">
        <v>602</v>
      </c>
      <c r="B16" s="10" t="s">
        <v>591</v>
      </c>
      <c r="C16" s="10" t="s">
        <v>358</v>
      </c>
      <c r="D16" s="10" t="s">
        <v>79</v>
      </c>
      <c r="E16" s="16"/>
      <c r="F16" s="16" t="n">
        <v>380000</v>
      </c>
      <c r="G16" s="16" t="n">
        <v>0</v>
      </c>
    </row>
    <row r="17" customFormat="false" ht="15" hidden="false" customHeight="false" outlineLevel="0" collapsed="false">
      <c r="A17" s="10" t="s">
        <v>603</v>
      </c>
      <c r="B17" s="10" t="s">
        <v>591</v>
      </c>
      <c r="C17" s="10" t="s">
        <v>358</v>
      </c>
      <c r="D17" s="10" t="s">
        <v>79</v>
      </c>
      <c r="E17" s="16"/>
      <c r="F17" s="16" t="n">
        <v>300000</v>
      </c>
      <c r="G17" s="16" t="n">
        <v>0</v>
      </c>
    </row>
    <row r="18" customFormat="false" ht="15" hidden="false" customHeight="false" outlineLevel="0" collapsed="false">
      <c r="A18" s="10" t="s">
        <v>604</v>
      </c>
      <c r="B18" s="10" t="s">
        <v>591</v>
      </c>
      <c r="C18" s="10" t="s">
        <v>358</v>
      </c>
      <c r="D18" s="10" t="s">
        <v>79</v>
      </c>
      <c r="E18" s="16"/>
      <c r="F18" s="16" t="n">
        <v>250000</v>
      </c>
      <c r="G18" s="16" t="n">
        <v>0</v>
      </c>
    </row>
    <row r="19" customFormat="false" ht="15" hidden="false" customHeight="false" outlineLevel="0" collapsed="false">
      <c r="A19" s="10" t="s">
        <v>590</v>
      </c>
      <c r="B19" s="10" t="s">
        <v>591</v>
      </c>
      <c r="C19" s="10" t="s">
        <v>361</v>
      </c>
      <c r="D19" s="10" t="s">
        <v>79</v>
      </c>
      <c r="E19" s="16"/>
      <c r="F19" s="16" t="n">
        <v>200000</v>
      </c>
      <c r="G19" s="16" t="n">
        <v>0</v>
      </c>
    </row>
    <row r="20" customFormat="false" ht="15" hidden="false" customHeight="false" outlineLevel="0" collapsed="false">
      <c r="A20" s="10" t="s">
        <v>596</v>
      </c>
      <c r="B20" s="10" t="s">
        <v>591</v>
      </c>
      <c r="C20" s="10" t="s">
        <v>361</v>
      </c>
      <c r="D20" s="10" t="s">
        <v>79</v>
      </c>
      <c r="E20" s="16"/>
      <c r="F20" s="16" t="n">
        <v>230000</v>
      </c>
      <c r="G20" s="16" t="n">
        <v>0</v>
      </c>
    </row>
    <row r="21" customFormat="false" ht="15" hidden="false" customHeight="false" outlineLevel="0" collapsed="false">
      <c r="A21" s="10" t="s">
        <v>601</v>
      </c>
      <c r="B21" s="10" t="s">
        <v>591</v>
      </c>
      <c r="C21" s="10" t="s">
        <v>361</v>
      </c>
      <c r="D21" s="10" t="s">
        <v>79</v>
      </c>
      <c r="E21" s="16"/>
      <c r="F21" s="16" t="n">
        <v>150000</v>
      </c>
      <c r="G21" s="16" t="n">
        <v>0</v>
      </c>
    </row>
    <row r="22" customFormat="false" ht="15" hidden="false" customHeight="false" outlineLevel="0" collapsed="false">
      <c r="A22" s="10" t="s">
        <v>605</v>
      </c>
      <c r="B22" s="10" t="s">
        <v>606</v>
      </c>
      <c r="C22" s="10" t="s">
        <v>456</v>
      </c>
      <c r="D22" s="10" t="s">
        <v>79</v>
      </c>
      <c r="E22" s="16"/>
      <c r="F22" s="16" t="n">
        <v>0</v>
      </c>
      <c r="G22" s="16" t="n">
        <v>1200000</v>
      </c>
    </row>
    <row r="23" customFormat="false" ht="15" hidden="false" customHeight="false" outlineLevel="0" collapsed="false">
      <c r="A23" s="10" t="s">
        <v>607</v>
      </c>
      <c r="B23" s="10" t="s">
        <v>606</v>
      </c>
      <c r="C23" s="10" t="s">
        <v>456</v>
      </c>
      <c r="D23" s="10" t="s">
        <v>79</v>
      </c>
      <c r="E23" s="16"/>
      <c r="F23" s="16" t="n">
        <v>0</v>
      </c>
      <c r="G23" s="16" t="n">
        <v>650000</v>
      </c>
    </row>
    <row r="24" customFormat="false" ht="15" hidden="false" customHeight="false" outlineLevel="0" collapsed="false">
      <c r="A24" s="10" t="s">
        <v>608</v>
      </c>
      <c r="B24" s="10" t="s">
        <v>606</v>
      </c>
      <c r="C24" s="10" t="s">
        <v>456</v>
      </c>
      <c r="D24" s="10" t="s">
        <v>79</v>
      </c>
      <c r="E24" s="16"/>
      <c r="F24" s="16" t="n">
        <v>0</v>
      </c>
      <c r="G24" s="16" t="n">
        <v>700000</v>
      </c>
    </row>
    <row r="25" customFormat="false" ht="15" hidden="false" customHeight="false" outlineLevel="0" collapsed="false">
      <c r="A25" s="10" t="s">
        <v>609</v>
      </c>
      <c r="B25" s="10" t="s">
        <v>606</v>
      </c>
      <c r="C25" s="10" t="s">
        <v>456</v>
      </c>
      <c r="D25" s="10" t="s">
        <v>79</v>
      </c>
      <c r="E25" s="16"/>
      <c r="F25" s="16" t="n">
        <v>0</v>
      </c>
      <c r="G25" s="16" t="n">
        <v>120000</v>
      </c>
    </row>
    <row r="26" customFormat="false" ht="15" hidden="false" customHeight="false" outlineLevel="0" collapsed="false">
      <c r="A26" s="10" t="s">
        <v>610</v>
      </c>
      <c r="B26" s="10" t="s">
        <v>606</v>
      </c>
      <c r="C26" s="10" t="s">
        <v>456</v>
      </c>
      <c r="D26" s="10" t="s">
        <v>79</v>
      </c>
      <c r="E26" s="16"/>
      <c r="F26" s="16" t="n">
        <v>0</v>
      </c>
      <c r="G26" s="16" t="n">
        <v>80000</v>
      </c>
    </row>
    <row r="27" customFormat="false" ht="15" hidden="false" customHeight="false" outlineLevel="0" collapsed="false">
      <c r="A27" s="10" t="s">
        <v>611</v>
      </c>
      <c r="B27" s="10" t="s">
        <v>606</v>
      </c>
      <c r="C27" s="10" t="s">
        <v>456</v>
      </c>
      <c r="D27" s="10" t="s">
        <v>79</v>
      </c>
      <c r="E27" s="16"/>
      <c r="F27" s="16" t="n">
        <v>0</v>
      </c>
      <c r="G27" s="16" t="n">
        <v>60000</v>
      </c>
    </row>
    <row r="28" customFormat="false" ht="15" hidden="false" customHeight="false" outlineLevel="0" collapsed="false">
      <c r="A28" s="10" t="s">
        <v>612</v>
      </c>
      <c r="B28" s="10" t="s">
        <v>606</v>
      </c>
      <c r="C28" s="10" t="s">
        <v>456</v>
      </c>
      <c r="D28" s="10" t="s">
        <v>79</v>
      </c>
      <c r="E28" s="16"/>
      <c r="F28" s="16" t="n">
        <v>0</v>
      </c>
      <c r="G28" s="16" t="n">
        <v>40000</v>
      </c>
    </row>
    <row r="29" customFormat="false" ht="15" hidden="false" customHeight="false" outlineLevel="0" collapsed="false">
      <c r="A29" s="10" t="s">
        <v>613</v>
      </c>
      <c r="B29" s="10" t="s">
        <v>606</v>
      </c>
      <c r="C29" s="10" t="s">
        <v>460</v>
      </c>
      <c r="D29" s="10" t="s">
        <v>344</v>
      </c>
      <c r="E29" s="16" t="n">
        <v>24000</v>
      </c>
      <c r="F29" s="16" t="n">
        <v>0</v>
      </c>
      <c r="G29" s="16" t="n">
        <v>1200000</v>
      </c>
    </row>
    <row r="30" customFormat="false" ht="15" hidden="false" customHeight="false" outlineLevel="0" collapsed="false">
      <c r="A30" s="10" t="s">
        <v>614</v>
      </c>
      <c r="B30" s="10" t="s">
        <v>606</v>
      </c>
      <c r="C30" s="10" t="s">
        <v>460</v>
      </c>
      <c r="D30" s="10" t="s">
        <v>344</v>
      </c>
      <c r="E30" s="16" t="n">
        <v>9000</v>
      </c>
      <c r="F30" s="16" t="n">
        <v>0</v>
      </c>
      <c r="G30" s="16" t="n">
        <v>450000</v>
      </c>
    </row>
    <row r="31" customFormat="false" ht="15" hidden="false" customHeight="false" outlineLevel="0" collapsed="false">
      <c r="A31" s="10" t="s">
        <v>615</v>
      </c>
      <c r="B31" s="10" t="s">
        <v>606</v>
      </c>
      <c r="C31" s="10" t="s">
        <v>460</v>
      </c>
      <c r="D31" s="10" t="s">
        <v>344</v>
      </c>
      <c r="E31" s="16" t="n">
        <v>6000</v>
      </c>
      <c r="F31" s="16" t="n">
        <v>0</v>
      </c>
      <c r="G31" s="16" t="n">
        <v>300000</v>
      </c>
    </row>
    <row r="32" customFormat="false" ht="15" hidden="false" customHeight="false" outlineLevel="0" collapsed="false">
      <c r="A32" s="10" t="s">
        <v>605</v>
      </c>
      <c r="B32" s="10" t="s">
        <v>606</v>
      </c>
      <c r="C32" s="10" t="s">
        <v>463</v>
      </c>
      <c r="D32" s="10" t="s">
        <v>79</v>
      </c>
      <c r="E32" s="16"/>
      <c r="F32" s="16" t="n">
        <v>0</v>
      </c>
      <c r="G32" s="16" t="n">
        <v>400000</v>
      </c>
    </row>
    <row r="33" customFormat="false" ht="15" hidden="false" customHeight="false" outlineLevel="0" collapsed="false">
      <c r="A33" s="10" t="s">
        <v>608</v>
      </c>
      <c r="B33" s="10" t="s">
        <v>606</v>
      </c>
      <c r="C33" s="10" t="s">
        <v>463</v>
      </c>
      <c r="D33" s="10" t="s">
        <v>79</v>
      </c>
      <c r="E33" s="16"/>
      <c r="F33" s="16" t="n">
        <v>0</v>
      </c>
      <c r="G33" s="16" t="n">
        <v>320000</v>
      </c>
    </row>
    <row r="34" customFormat="false" ht="15" hidden="false" customHeight="false" outlineLevel="0" collapsed="false">
      <c r="A34" s="13" t="s">
        <v>298</v>
      </c>
      <c r="B34" s="14"/>
      <c r="C34" s="14"/>
      <c r="D34" s="14"/>
      <c r="E34" s="14"/>
      <c r="F34" s="17" t="n">
        <f aca="false">SUM(F5:F33)</f>
        <v>4330000</v>
      </c>
      <c r="G34" s="17" t="n">
        <f aca="false">SUM(G5:G33)</f>
        <v>5520000</v>
      </c>
    </row>
    <row r="36" customFormat="false" ht="15" hidden="false" customHeight="false" outlineLevel="0" collapsed="false">
      <c r="A36" s="6" t="s">
        <v>616</v>
      </c>
    </row>
    <row r="37" customFormat="false" ht="15" hidden="false" customHeight="false" outlineLevel="0" collapsed="false">
      <c r="A37" s="3" t="s">
        <v>577</v>
      </c>
      <c r="E37" s="3" t="s">
        <v>617</v>
      </c>
      <c r="F37" s="3" t="s">
        <v>618</v>
      </c>
      <c r="G37" s="3" t="s">
        <v>619</v>
      </c>
    </row>
    <row r="38" customFormat="false" ht="15" hidden="false" customHeight="false" outlineLevel="0" collapsed="false">
      <c r="A38" s="5" t="s">
        <v>620</v>
      </c>
      <c r="E38" s="18" t="n">
        <f aca="false">SUMIF($C$5:$C$33,"110100",$F$5:$F$33)-SUMIF($C$5:$C$33,"110100",$G$5:$G$33)</f>
        <v>2400000</v>
      </c>
      <c r="F38" s="18" t="n">
        <f aca="false">SUMIF('Opening Trial Balance'!$A$5:$A$42,"110100",'Opening Trial Balance'!$D$5:$D$42)-SUMIF('Opening Trial Balance'!$A$5:$A$42,"110100",'Opening Trial Balance'!$E$5:$E$42)</f>
        <v>2400000</v>
      </c>
      <c r="G38" s="18" t="n">
        <f aca="false">E38-F38</f>
        <v>0</v>
      </c>
    </row>
    <row r="39" customFormat="false" ht="15" hidden="false" customHeight="false" outlineLevel="0" collapsed="false">
      <c r="A39" s="5" t="s">
        <v>621</v>
      </c>
      <c r="E39" s="18" t="n">
        <f aca="false">SUMIF($C$5:$C$33,"110200",$F$5:$F$33)-SUMIF($C$5:$C$33,"110200",$G$5:$G$33)</f>
        <v>1350000</v>
      </c>
      <c r="F39" s="18" t="n">
        <f aca="false">SUMIF('Opening Trial Balance'!$A$5:$A$42,"110200",'Opening Trial Balance'!$D$5:$D$42)-SUMIF('Opening Trial Balance'!$A$5:$A$42,"110200",'Opening Trial Balance'!$E$5:$E$42)</f>
        <v>1350000</v>
      </c>
      <c r="G39" s="18" t="n">
        <f aca="false">E39-F39</f>
        <v>0</v>
      </c>
    </row>
    <row r="40" customFormat="false" ht="15" hidden="false" customHeight="false" outlineLevel="0" collapsed="false">
      <c r="A40" s="5" t="s">
        <v>622</v>
      </c>
      <c r="E40" s="18" t="n">
        <f aca="false">SUMIF($C$5:$C$33,"110300",$F$5:$F$33)-SUMIF($C$5:$C$33,"110300",$G$5:$G$33)</f>
        <v>580000</v>
      </c>
      <c r="F40" s="18" t="n">
        <f aca="false">SUMIF('Opening Trial Balance'!$A$5:$A$42,"110300",'Opening Trial Balance'!$D$5:$D$42)-SUMIF('Opening Trial Balance'!$A$5:$A$42,"110300",'Opening Trial Balance'!$E$5:$E$42)</f>
        <v>580000</v>
      </c>
      <c r="G40" s="18" t="n">
        <f aca="false">E40-F40</f>
        <v>0</v>
      </c>
    </row>
    <row r="41" customFormat="false" ht="15" hidden="false" customHeight="false" outlineLevel="0" collapsed="false">
      <c r="A41" s="5" t="s">
        <v>623</v>
      </c>
      <c r="E41" s="18" t="n">
        <f aca="false">SUMIF($C$5:$C$33,"211100",$F$5:$F$33)-SUMIF($C$5:$C$33,"211100",$G$5:$G$33)</f>
        <v>-2850000</v>
      </c>
      <c r="F41" s="18" t="n">
        <f aca="false">SUMIF('Opening Trial Balance'!$A$5:$A$42,"211100",'Opening Trial Balance'!$D$5:$D$42)-SUMIF('Opening Trial Balance'!$A$5:$A$42,"211100",'Opening Trial Balance'!$E$5:$E$42)</f>
        <v>-2850000</v>
      </c>
      <c r="G41" s="18" t="n">
        <f aca="false">E41-F41</f>
        <v>0</v>
      </c>
    </row>
    <row r="42" customFormat="false" ht="15" hidden="false" customHeight="false" outlineLevel="0" collapsed="false">
      <c r="A42" s="5" t="s">
        <v>624</v>
      </c>
      <c r="E42" s="18" t="n">
        <f aca="false">SUMIF($C$5:$C$33,"211200",$F$5:$F$33)-SUMIF($C$5:$C$33,"211200",$G$5:$G$33)</f>
        <v>-1950000</v>
      </c>
      <c r="F42" s="18" t="n">
        <f aca="false">SUMIF('Opening Trial Balance'!$A$5:$A$42,"211200",'Opening Trial Balance'!$D$5:$D$42)-SUMIF('Opening Trial Balance'!$A$5:$A$42,"211200",'Opening Trial Balance'!$E$5:$E$42)</f>
        <v>-1950000</v>
      </c>
      <c r="G42" s="18" t="n">
        <f aca="false">E42-F42</f>
        <v>0</v>
      </c>
    </row>
    <row r="43" customFormat="false" ht="15" hidden="false" customHeight="false" outlineLevel="0" collapsed="false">
      <c r="A43" s="5" t="s">
        <v>625</v>
      </c>
      <c r="E43" s="18" t="n">
        <f aca="false">SUMIF($C$5:$C$33,"212100",$F$5:$F$33)-SUMIF($C$5:$C$33,"212100",$G$5:$G$33)</f>
        <v>-720000</v>
      </c>
      <c r="F43" s="18" t="n">
        <f aca="false">SUMIF('Opening Trial Balance'!$A$5:$A$42,"212100",'Opening Trial Balance'!$D$5:$D$42)-SUMIF('Opening Trial Balance'!$A$5:$A$42,"212100",'Opening Trial Balance'!$E$5:$E$42)</f>
        <v>-720000</v>
      </c>
      <c r="G43" s="18" t="n">
        <f aca="false">E43-F43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22"/>
    <col collapsed="false" customWidth="true" hidden="false" outlineLevel="0" max="3" min="3" style="0" width="27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6"/>
    <col collapsed="false" customWidth="true" hidden="false" outlineLevel="0" max="7" min="7" style="0" width="9"/>
    <col collapsed="false" customWidth="true" hidden="false" outlineLevel="0" max="8" min="8" style="0" width="55"/>
    <col collapsed="false" customWidth="true" hidden="false" outlineLevel="0" max="9" min="9" style="0" width="45"/>
    <col collapsed="false" customWidth="true" hidden="false" outlineLevel="0" max="11" min="10" style="0" width="15"/>
  </cols>
  <sheetData>
    <row r="1" customFormat="false" ht="16.15" hidden="false" customHeight="false" outlineLevel="0" collapsed="false">
      <c r="A1" s="8" t="s">
        <v>26</v>
      </c>
    </row>
    <row r="2" customFormat="false" ht="15" hidden="false" customHeight="false" outlineLevel="0" collapsed="false">
      <c r="A2" s="2" t="s">
        <v>626</v>
      </c>
    </row>
    <row r="4" customFormat="false" ht="15" hidden="false" customHeight="false" outlineLevel="0" collapsed="false">
      <c r="A4" s="9" t="s">
        <v>627</v>
      </c>
      <c r="B4" s="9" t="s">
        <v>628</v>
      </c>
      <c r="C4" s="9" t="s">
        <v>629</v>
      </c>
      <c r="D4" s="9" t="s">
        <v>306</v>
      </c>
      <c r="E4" s="9" t="s">
        <v>630</v>
      </c>
      <c r="F4" s="9" t="s">
        <v>631</v>
      </c>
      <c r="G4" s="9" t="s">
        <v>632</v>
      </c>
      <c r="H4" s="9" t="s">
        <v>633</v>
      </c>
      <c r="I4" s="9" t="s">
        <v>634</v>
      </c>
      <c r="J4" s="9" t="s">
        <v>635</v>
      </c>
      <c r="K4" s="9" t="s">
        <v>636</v>
      </c>
    </row>
    <row r="5" customFormat="false" ht="15" hidden="false" customHeight="false" outlineLevel="0" collapsed="false">
      <c r="A5" s="10" t="s">
        <v>637</v>
      </c>
      <c r="B5" s="10" t="s">
        <v>638</v>
      </c>
      <c r="C5" s="10" t="s">
        <v>639</v>
      </c>
      <c r="D5" s="10" t="s">
        <v>79</v>
      </c>
      <c r="E5" s="10" t="s">
        <v>640</v>
      </c>
      <c r="F5" s="10" t="s">
        <v>641</v>
      </c>
      <c r="G5" s="10" t="s">
        <v>642</v>
      </c>
      <c r="H5" s="10" t="s">
        <v>643</v>
      </c>
      <c r="I5" s="10" t="s">
        <v>644</v>
      </c>
      <c r="J5" s="16" t="n">
        <v>1850000</v>
      </c>
      <c r="K5" s="16"/>
    </row>
    <row r="6" customFormat="false" ht="15" hidden="false" customHeight="false" outlineLevel="0" collapsed="false">
      <c r="A6" s="10" t="s">
        <v>645</v>
      </c>
      <c r="B6" s="10" t="s">
        <v>646</v>
      </c>
      <c r="C6" s="10" t="s">
        <v>647</v>
      </c>
      <c r="D6" s="10" t="s">
        <v>79</v>
      </c>
      <c r="E6" s="10" t="s">
        <v>648</v>
      </c>
      <c r="F6" s="10" t="s">
        <v>649</v>
      </c>
      <c r="G6" s="10" t="s">
        <v>650</v>
      </c>
      <c r="H6" s="10" t="s">
        <v>651</v>
      </c>
      <c r="I6" s="10" t="s">
        <v>652</v>
      </c>
      <c r="J6" s="16" t="n">
        <v>2100000</v>
      </c>
      <c r="K6" s="16"/>
    </row>
    <row r="7" customFormat="false" ht="15" hidden="false" customHeight="false" outlineLevel="0" collapsed="false">
      <c r="A7" s="10" t="s">
        <v>653</v>
      </c>
      <c r="B7" s="10" t="s">
        <v>654</v>
      </c>
      <c r="C7" s="10" t="s">
        <v>655</v>
      </c>
      <c r="D7" s="10" t="s">
        <v>344</v>
      </c>
      <c r="E7" s="10" t="s">
        <v>656</v>
      </c>
      <c r="F7" s="10" t="s">
        <v>657</v>
      </c>
      <c r="G7" s="10" t="s">
        <v>658</v>
      </c>
      <c r="H7" s="10" t="s">
        <v>659</v>
      </c>
      <c r="I7" s="10" t="s">
        <v>660</v>
      </c>
      <c r="J7" s="16" t="n">
        <v>920000</v>
      </c>
      <c r="K7" s="16" t="n">
        <v>18400</v>
      </c>
    </row>
    <row r="8" customFormat="false" ht="15" hidden="false" customHeight="false" outlineLevel="0" collapsed="false">
      <c r="A8" s="10" t="s">
        <v>661</v>
      </c>
      <c r="B8" s="10" t="s">
        <v>662</v>
      </c>
      <c r="C8" s="10" t="s">
        <v>663</v>
      </c>
      <c r="D8" s="10" t="s">
        <v>79</v>
      </c>
      <c r="E8" s="10" t="s">
        <v>664</v>
      </c>
      <c r="F8" s="10" t="s">
        <v>665</v>
      </c>
      <c r="G8" s="10" t="s">
        <v>666</v>
      </c>
      <c r="H8" s="10" t="s">
        <v>667</v>
      </c>
      <c r="I8" s="10" t="s">
        <v>668</v>
      </c>
      <c r="J8" s="16" t="n">
        <v>0</v>
      </c>
      <c r="K8" s="16"/>
    </row>
    <row r="9" customFormat="false" ht="15" hidden="false" customHeight="false" outlineLevel="0" collapsed="false">
      <c r="A9" s="13" t="s">
        <v>298</v>
      </c>
      <c r="B9" s="14"/>
      <c r="C9" s="14"/>
      <c r="D9" s="14"/>
      <c r="E9" s="14"/>
      <c r="F9" s="14"/>
      <c r="G9" s="14"/>
      <c r="H9" s="14"/>
      <c r="I9" s="14"/>
      <c r="J9" s="17" t="n">
        <f aca="false">SUM(J5:J8)</f>
        <v>4870000</v>
      </c>
      <c r="K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4"/>
    <col collapsed="false" customWidth="true" hidden="false" outlineLevel="0" max="3" min="3" style="0" width="3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45"/>
    <col collapsed="false" customWidth="true" hidden="false" outlineLevel="0" max="7" min="7" style="0" width="19"/>
    <col collapsed="false" customWidth="true" hidden="false" outlineLevel="0" max="8" min="8" style="0" width="15"/>
  </cols>
  <sheetData>
    <row r="1" customFormat="false" ht="16.15" hidden="false" customHeight="false" outlineLevel="0" collapsed="false">
      <c r="A1" s="8" t="s">
        <v>669</v>
      </c>
    </row>
    <row r="2" customFormat="false" ht="15" hidden="false" customHeight="false" outlineLevel="0" collapsed="false">
      <c r="A2" s="2" t="s">
        <v>670</v>
      </c>
    </row>
    <row r="4" customFormat="false" ht="15" hidden="false" customHeight="false" outlineLevel="0" collapsed="false">
      <c r="A4" s="9" t="s">
        <v>671</v>
      </c>
      <c r="B4" s="9" t="s">
        <v>672</v>
      </c>
      <c r="C4" s="9" t="s">
        <v>673</v>
      </c>
      <c r="D4" s="9" t="s">
        <v>306</v>
      </c>
      <c r="E4" s="9" t="s">
        <v>632</v>
      </c>
      <c r="F4" s="9" t="s">
        <v>633</v>
      </c>
      <c r="G4" s="9" t="s">
        <v>674</v>
      </c>
      <c r="H4" s="9" t="s">
        <v>635</v>
      </c>
    </row>
    <row r="5" customFormat="false" ht="15" hidden="false" customHeight="false" outlineLevel="0" collapsed="false">
      <c r="A5" s="10" t="s">
        <v>675</v>
      </c>
      <c r="B5" s="10" t="s">
        <v>676</v>
      </c>
      <c r="C5" s="10" t="s">
        <v>165</v>
      </c>
      <c r="D5" s="10" t="s">
        <v>79</v>
      </c>
      <c r="E5" s="10" t="s">
        <v>677</v>
      </c>
      <c r="F5" s="10" t="s">
        <v>678</v>
      </c>
      <c r="G5" s="12" t="n">
        <v>300000</v>
      </c>
      <c r="H5" s="16" t="n">
        <v>250000</v>
      </c>
    </row>
    <row r="6" customFormat="false" ht="15" hidden="false" customHeight="false" outlineLevel="0" collapsed="false">
      <c r="A6" s="10" t="s">
        <v>324</v>
      </c>
      <c r="B6" s="10" t="s">
        <v>679</v>
      </c>
      <c r="C6" s="10" t="s">
        <v>226</v>
      </c>
      <c r="D6" s="10" t="s">
        <v>79</v>
      </c>
      <c r="E6" s="10" t="s">
        <v>680</v>
      </c>
      <c r="F6" s="10" t="s">
        <v>681</v>
      </c>
      <c r="G6" s="12" t="n">
        <v>100000</v>
      </c>
      <c r="H6" s="16" t="n">
        <v>85000</v>
      </c>
    </row>
    <row r="7" customFormat="false" ht="15" hidden="false" customHeight="false" outlineLevel="0" collapsed="false">
      <c r="A7" s="10" t="s">
        <v>327</v>
      </c>
      <c r="B7" s="10" t="s">
        <v>72</v>
      </c>
      <c r="C7" s="10" t="s">
        <v>156</v>
      </c>
      <c r="D7" s="10" t="s">
        <v>79</v>
      </c>
      <c r="E7" s="10" t="s">
        <v>682</v>
      </c>
      <c r="F7" s="10" t="s">
        <v>683</v>
      </c>
      <c r="G7" s="12" t="n">
        <v>20000</v>
      </c>
      <c r="H7" s="16" t="n">
        <v>0</v>
      </c>
    </row>
    <row r="8" customFormat="false" ht="15" hidden="false" customHeight="false" outlineLevel="0" collapsed="false">
      <c r="A8" s="10" t="s">
        <v>684</v>
      </c>
      <c r="B8" s="10" t="s">
        <v>209</v>
      </c>
      <c r="C8" s="10" t="s">
        <v>213</v>
      </c>
      <c r="D8" s="10" t="s">
        <v>79</v>
      </c>
      <c r="E8" s="10" t="s">
        <v>685</v>
      </c>
      <c r="F8" s="10" t="s">
        <v>686</v>
      </c>
      <c r="G8" s="12" t="n">
        <v>50000</v>
      </c>
      <c r="H8" s="16" t="n">
        <v>0</v>
      </c>
    </row>
    <row r="9" customFormat="false" ht="15" hidden="false" customHeight="false" outlineLevel="0" collapsed="false">
      <c r="A9" s="13" t="s">
        <v>298</v>
      </c>
      <c r="B9" s="14"/>
      <c r="C9" s="14"/>
      <c r="D9" s="14"/>
      <c r="E9" s="14"/>
      <c r="F9" s="14"/>
      <c r="G9" s="14"/>
      <c r="H9" s="17" t="n">
        <f aca="false">SUM(H5:H8)</f>
        <v>335000</v>
      </c>
    </row>
    <row r="11" customFormat="false" ht="15" hidden="false" customHeight="false" outlineLevel="0" collapsed="false">
      <c r="A11" s="6" t="s">
        <v>687</v>
      </c>
    </row>
    <row r="12" customFormat="false" ht="15" hidden="false" customHeight="false" outlineLevel="0" collapsed="false">
      <c r="A12" s="3" t="s">
        <v>688</v>
      </c>
      <c r="B12" s="3" t="s">
        <v>70</v>
      </c>
      <c r="C12" s="3" t="s">
        <v>689</v>
      </c>
    </row>
    <row r="13" customFormat="false" ht="15" hidden="false" customHeight="false" outlineLevel="0" collapsed="false">
      <c r="A13" s="5" t="s">
        <v>690</v>
      </c>
      <c r="B13" s="5" t="s">
        <v>691</v>
      </c>
      <c r="C13" s="5" t="s">
        <v>692</v>
      </c>
    </row>
    <row r="14" customFormat="false" ht="15" hidden="false" customHeight="false" outlineLevel="0" collapsed="false">
      <c r="A14" s="5" t="s">
        <v>693</v>
      </c>
      <c r="B14" s="5" t="s">
        <v>694</v>
      </c>
      <c r="C14" s="5" t="s">
        <v>695</v>
      </c>
    </row>
    <row r="15" customFormat="false" ht="15" hidden="false" customHeight="false" outlineLevel="0" collapsed="false">
      <c r="A15" s="5" t="s">
        <v>696</v>
      </c>
      <c r="B15" s="5" t="s">
        <v>697</v>
      </c>
      <c r="C15" s="5" t="s">
        <v>698</v>
      </c>
    </row>
    <row r="16" customFormat="false" ht="15" hidden="false" customHeight="false" outlineLevel="0" collapsed="false">
      <c r="A16" s="5" t="s">
        <v>699</v>
      </c>
      <c r="B16" s="5" t="s">
        <v>700</v>
      </c>
      <c r="C16" s="5" t="s">
        <v>701</v>
      </c>
    </row>
    <row r="17" customFormat="false" ht="15" hidden="false" customHeight="false" outlineLevel="0" collapsed="false">
      <c r="A17" s="5" t="s">
        <v>702</v>
      </c>
      <c r="B17" s="5" t="s">
        <v>703</v>
      </c>
      <c r="C17" s="5" t="s">
        <v>704</v>
      </c>
    </row>
    <row r="18" customFormat="false" ht="15" hidden="false" customHeight="false" outlineLevel="0" collapsed="false">
      <c r="A18" s="5" t="s">
        <v>705</v>
      </c>
      <c r="B18" s="5" t="s">
        <v>706</v>
      </c>
      <c r="C18" s="5" t="s">
        <v>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55"/>
    <col collapsed="false" customWidth="true" hidden="false" outlineLevel="0" max="6" min="6" style="0" width="47"/>
  </cols>
  <sheetData>
    <row r="1" customFormat="false" ht="16.15" hidden="false" customHeight="false" outlineLevel="0" collapsed="false">
      <c r="A1" s="8" t="s">
        <v>708</v>
      </c>
    </row>
    <row r="2" customFormat="false" ht="15" hidden="false" customHeight="false" outlineLevel="0" collapsed="false">
      <c r="A2" s="2" t="s">
        <v>709</v>
      </c>
    </row>
    <row r="4" customFormat="false" ht="15" hidden="false" customHeight="false" outlineLevel="0" collapsed="false">
      <c r="A4" s="9" t="s">
        <v>632</v>
      </c>
      <c r="B4" s="9" t="s">
        <v>301</v>
      </c>
      <c r="C4" s="9" t="s">
        <v>303</v>
      </c>
      <c r="D4" s="9" t="s">
        <v>306</v>
      </c>
      <c r="E4" s="9" t="s">
        <v>710</v>
      </c>
      <c r="F4" s="9" t="s">
        <v>634</v>
      </c>
    </row>
    <row r="5" customFormat="false" ht="15" hidden="false" customHeight="false" outlineLevel="0" collapsed="false">
      <c r="A5" s="10" t="s">
        <v>711</v>
      </c>
      <c r="B5" s="10" t="s">
        <v>642</v>
      </c>
      <c r="C5" s="10" t="s">
        <v>627</v>
      </c>
      <c r="D5" s="10" t="s">
        <v>79</v>
      </c>
      <c r="E5" s="10" t="s">
        <v>643</v>
      </c>
      <c r="F5" s="10" t="s">
        <v>644</v>
      </c>
    </row>
    <row r="6" customFormat="false" ht="15" hidden="false" customHeight="false" outlineLevel="0" collapsed="false">
      <c r="A6" s="10" t="s">
        <v>712</v>
      </c>
      <c r="B6" s="10" t="s">
        <v>650</v>
      </c>
      <c r="C6" s="10" t="s">
        <v>627</v>
      </c>
      <c r="D6" s="10" t="s">
        <v>79</v>
      </c>
      <c r="E6" s="10" t="s">
        <v>651</v>
      </c>
      <c r="F6" s="10" t="s">
        <v>652</v>
      </c>
    </row>
    <row r="7" customFormat="false" ht="15" hidden="false" customHeight="false" outlineLevel="0" collapsed="false">
      <c r="A7" s="10" t="s">
        <v>713</v>
      </c>
      <c r="B7" s="10" t="s">
        <v>658</v>
      </c>
      <c r="C7" s="10" t="s">
        <v>627</v>
      </c>
      <c r="D7" s="10" t="s">
        <v>344</v>
      </c>
      <c r="E7" s="10" t="s">
        <v>659</v>
      </c>
      <c r="F7" s="10" t="s">
        <v>660</v>
      </c>
    </row>
    <row r="8" customFormat="false" ht="15" hidden="false" customHeight="false" outlineLevel="0" collapsed="false">
      <c r="A8" s="10" t="s">
        <v>714</v>
      </c>
      <c r="B8" s="10" t="s">
        <v>666</v>
      </c>
      <c r="C8" s="10" t="s">
        <v>627</v>
      </c>
      <c r="D8" s="10" t="s">
        <v>79</v>
      </c>
      <c r="E8" s="10" t="s">
        <v>667</v>
      </c>
      <c r="F8" s="10" t="s">
        <v>668</v>
      </c>
    </row>
    <row r="9" customFormat="false" ht="15" hidden="false" customHeight="false" outlineLevel="0" collapsed="false">
      <c r="A9" s="10" t="s">
        <v>675</v>
      </c>
      <c r="B9" s="10" t="s">
        <v>677</v>
      </c>
      <c r="C9" s="10" t="s">
        <v>715</v>
      </c>
      <c r="D9" s="10" t="s">
        <v>79</v>
      </c>
      <c r="E9" s="10" t="s">
        <v>678</v>
      </c>
      <c r="F9" s="10" t="s">
        <v>716</v>
      </c>
    </row>
    <row r="10" customFormat="false" ht="15" hidden="false" customHeight="false" outlineLevel="0" collapsed="false">
      <c r="A10" s="10" t="s">
        <v>324</v>
      </c>
      <c r="B10" s="10" t="s">
        <v>680</v>
      </c>
      <c r="C10" s="10" t="s">
        <v>715</v>
      </c>
      <c r="D10" s="10" t="s">
        <v>79</v>
      </c>
      <c r="E10" s="10" t="s">
        <v>681</v>
      </c>
      <c r="F10" s="10" t="s">
        <v>717</v>
      </c>
    </row>
    <row r="11" customFormat="false" ht="15" hidden="false" customHeight="false" outlineLevel="0" collapsed="false">
      <c r="A11" s="10" t="s">
        <v>327</v>
      </c>
      <c r="B11" s="10" t="s">
        <v>682</v>
      </c>
      <c r="C11" s="10" t="s">
        <v>715</v>
      </c>
      <c r="D11" s="10" t="s">
        <v>79</v>
      </c>
      <c r="E11" s="10" t="s">
        <v>683</v>
      </c>
      <c r="F11" s="10" t="s">
        <v>718</v>
      </c>
    </row>
    <row r="12" customFormat="false" ht="15" hidden="false" customHeight="false" outlineLevel="0" collapsed="false">
      <c r="A12" s="10" t="s">
        <v>684</v>
      </c>
      <c r="B12" s="10" t="s">
        <v>685</v>
      </c>
      <c r="C12" s="10" t="s">
        <v>715</v>
      </c>
      <c r="D12" s="10" t="s">
        <v>79</v>
      </c>
      <c r="E12" s="10" t="s">
        <v>686</v>
      </c>
      <c r="F12" s="10" t="s">
        <v>719</v>
      </c>
    </row>
    <row r="13" customFormat="false" ht="15" hidden="false" customHeight="false" outlineLevel="0" collapsed="false">
      <c r="A13" s="10" t="s">
        <v>720</v>
      </c>
      <c r="B13" s="10" t="s">
        <v>721</v>
      </c>
      <c r="C13" s="10" t="s">
        <v>722</v>
      </c>
      <c r="D13" s="10" t="s">
        <v>79</v>
      </c>
      <c r="E13" s="10" t="s">
        <v>114</v>
      </c>
      <c r="F13" s="10" t="s">
        <v>723</v>
      </c>
    </row>
    <row r="14" customFormat="false" ht="15" hidden="false" customHeight="false" outlineLevel="0" collapsed="false">
      <c r="A14" s="10" t="s">
        <v>724</v>
      </c>
      <c r="B14" s="10" t="s">
        <v>725</v>
      </c>
      <c r="C14" s="10" t="s">
        <v>131</v>
      </c>
      <c r="D14" s="10" t="s">
        <v>79</v>
      </c>
      <c r="E14" s="10" t="s">
        <v>726</v>
      </c>
      <c r="F14" s="10" t="s">
        <v>727</v>
      </c>
    </row>
    <row r="15" customFormat="false" ht="15" hidden="false" customHeight="false" outlineLevel="0" collapsed="false">
      <c r="A15" s="10" t="s">
        <v>728</v>
      </c>
      <c r="B15" s="10" t="s">
        <v>729</v>
      </c>
      <c r="C15" s="10" t="s">
        <v>281</v>
      </c>
      <c r="D15" s="10" t="s">
        <v>79</v>
      </c>
      <c r="E15" s="10" t="s">
        <v>730</v>
      </c>
      <c r="F15" s="10" t="s">
        <v>727</v>
      </c>
    </row>
    <row r="16" customFormat="false" ht="15" hidden="false" customHeight="false" outlineLevel="0" collapsed="false">
      <c r="A16" s="10" t="s">
        <v>731</v>
      </c>
      <c r="B16" s="10" t="s">
        <v>732</v>
      </c>
      <c r="C16" s="10" t="s">
        <v>722</v>
      </c>
      <c r="D16" s="10" t="s">
        <v>79</v>
      </c>
      <c r="E16" s="10" t="s">
        <v>114</v>
      </c>
      <c r="F16" s="10" t="s">
        <v>733</v>
      </c>
    </row>
    <row r="17" customFormat="false" ht="15" hidden="false" customHeight="false" outlineLevel="0" collapsed="false">
      <c r="A17" s="10" t="s">
        <v>734</v>
      </c>
      <c r="B17" s="10" t="s">
        <v>735</v>
      </c>
      <c r="C17" s="10" t="s">
        <v>722</v>
      </c>
      <c r="D17" s="10" t="s">
        <v>79</v>
      </c>
      <c r="E17" s="10" t="s">
        <v>114</v>
      </c>
      <c r="F17" s="10" t="s">
        <v>736</v>
      </c>
    </row>
    <row r="18" customFormat="false" ht="15" hidden="false" customHeight="false" outlineLevel="0" collapsed="false">
      <c r="A18" s="10" t="s">
        <v>285</v>
      </c>
      <c r="B18" s="10" t="s">
        <v>737</v>
      </c>
      <c r="C18" s="10" t="s">
        <v>131</v>
      </c>
      <c r="D18" s="10" t="s">
        <v>79</v>
      </c>
      <c r="E18" s="10" t="s">
        <v>114</v>
      </c>
      <c r="F18" s="10" t="s">
        <v>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9"/>
    <col collapsed="false" customWidth="true" hidden="false" outlineLevel="0" max="3" min="3" style="0" width="9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29"/>
    <col collapsed="false" customWidth="true" hidden="false" outlineLevel="0" max="7" min="7" style="0" width="55"/>
  </cols>
  <sheetData>
    <row r="1" customFormat="false" ht="16.15" hidden="false" customHeight="false" outlineLevel="0" collapsed="false">
      <c r="A1" s="8" t="s">
        <v>739</v>
      </c>
    </row>
    <row r="2" customFormat="false" ht="15" hidden="false" customHeight="false" outlineLevel="0" collapsed="false">
      <c r="A2" s="2" t="s">
        <v>740</v>
      </c>
    </row>
    <row r="4" customFormat="false" ht="15" hidden="false" customHeight="false" outlineLevel="0" collapsed="false">
      <c r="A4" s="9" t="s">
        <v>741</v>
      </c>
      <c r="B4" s="9" t="s">
        <v>742</v>
      </c>
      <c r="C4" s="9" t="s">
        <v>743</v>
      </c>
      <c r="D4" s="9" t="s">
        <v>744</v>
      </c>
      <c r="E4" s="9" t="s">
        <v>745</v>
      </c>
      <c r="F4" s="9" t="s">
        <v>307</v>
      </c>
      <c r="G4" s="9" t="s">
        <v>746</v>
      </c>
    </row>
    <row r="5" customFormat="false" ht="15" hidden="false" customHeight="false" outlineLevel="0" collapsed="false">
      <c r="A5" s="10" t="s">
        <v>747</v>
      </c>
      <c r="B5" s="10" t="s">
        <v>131</v>
      </c>
      <c r="C5" s="20" t="n">
        <v>0.14</v>
      </c>
      <c r="D5" s="10" t="s">
        <v>748</v>
      </c>
      <c r="E5" s="10" t="s">
        <v>749</v>
      </c>
      <c r="F5" s="10" t="s">
        <v>750</v>
      </c>
      <c r="G5" s="10" t="s">
        <v>751</v>
      </c>
    </row>
    <row r="6" customFormat="false" ht="15" hidden="false" customHeight="false" outlineLevel="0" collapsed="false">
      <c r="A6" s="10" t="s">
        <v>752</v>
      </c>
      <c r="B6" s="10" t="s">
        <v>753</v>
      </c>
      <c r="C6" s="20" t="n">
        <v>0.14</v>
      </c>
      <c r="D6" s="10" t="s">
        <v>754</v>
      </c>
      <c r="E6" s="10" t="s">
        <v>755</v>
      </c>
      <c r="F6" s="10" t="s">
        <v>750</v>
      </c>
      <c r="G6" s="10" t="s">
        <v>756</v>
      </c>
    </row>
    <row r="7" customFormat="false" ht="15" hidden="false" customHeight="false" outlineLevel="0" collapsed="false">
      <c r="A7" s="10" t="s">
        <v>757</v>
      </c>
      <c r="B7" s="10" t="s">
        <v>758</v>
      </c>
      <c r="C7" s="20" t="n">
        <v>0</v>
      </c>
      <c r="D7" s="10" t="s">
        <v>759</v>
      </c>
      <c r="E7" s="10" t="s">
        <v>114</v>
      </c>
      <c r="F7" s="10" t="s">
        <v>750</v>
      </c>
      <c r="G7" s="10" t="s">
        <v>760</v>
      </c>
    </row>
    <row r="8" customFormat="false" ht="23.85" hidden="false" customHeight="false" outlineLevel="0" collapsed="false">
      <c r="A8" s="10" t="s">
        <v>761</v>
      </c>
      <c r="B8" s="10" t="s">
        <v>753</v>
      </c>
      <c r="C8" s="20" t="n">
        <v>-0.01</v>
      </c>
      <c r="D8" s="11" t="s">
        <v>762</v>
      </c>
      <c r="E8" s="10" t="s">
        <v>763</v>
      </c>
      <c r="F8" s="10" t="s">
        <v>764</v>
      </c>
      <c r="G8" s="11" t="s">
        <v>765</v>
      </c>
    </row>
    <row r="9" customFormat="false" ht="23.85" hidden="false" customHeight="false" outlineLevel="0" collapsed="false">
      <c r="A9" s="10" t="s">
        <v>766</v>
      </c>
      <c r="B9" s="10" t="s">
        <v>753</v>
      </c>
      <c r="C9" s="20" t="n">
        <v>-0.02</v>
      </c>
      <c r="D9" s="11" t="s">
        <v>762</v>
      </c>
      <c r="E9" s="10" t="s">
        <v>763</v>
      </c>
      <c r="F9" s="10" t="s">
        <v>764</v>
      </c>
      <c r="G9" s="11" t="s">
        <v>765</v>
      </c>
    </row>
    <row r="10" customFormat="false" ht="23.85" hidden="false" customHeight="false" outlineLevel="0" collapsed="false">
      <c r="A10" s="10" t="s">
        <v>767</v>
      </c>
      <c r="B10" s="10" t="s">
        <v>753</v>
      </c>
      <c r="C10" s="20" t="n">
        <v>-0.03</v>
      </c>
      <c r="D10" s="11" t="s">
        <v>762</v>
      </c>
      <c r="E10" s="10" t="s">
        <v>763</v>
      </c>
      <c r="F10" s="10" t="s">
        <v>764</v>
      </c>
      <c r="G10" s="11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7"/>
    <col collapsed="false" customWidth="true" hidden="false" outlineLevel="0" max="3" min="3" style="0" width="9"/>
    <col collapsed="false" customWidth="true" hidden="false" outlineLevel="0" max="4" min="4" style="0" width="37"/>
  </cols>
  <sheetData>
    <row r="1" customFormat="false" ht="16.15" hidden="false" customHeight="false" outlineLevel="0" collapsed="false">
      <c r="A1" s="8" t="s">
        <v>768</v>
      </c>
    </row>
    <row r="2" customFormat="false" ht="15" hidden="false" customHeight="false" outlineLevel="0" collapsed="false">
      <c r="A2" s="2" t="s">
        <v>769</v>
      </c>
    </row>
    <row r="4" customFormat="false" ht="15" hidden="false" customHeight="false" outlineLevel="0" collapsed="false">
      <c r="A4" s="9" t="s">
        <v>770</v>
      </c>
      <c r="B4" s="9" t="s">
        <v>771</v>
      </c>
      <c r="C4" s="9" t="s">
        <v>301</v>
      </c>
      <c r="D4" s="9" t="s">
        <v>308</v>
      </c>
    </row>
    <row r="5" customFormat="false" ht="15" hidden="false" customHeight="false" outlineLevel="0" collapsed="false">
      <c r="A5" s="10" t="s">
        <v>772</v>
      </c>
      <c r="B5" s="10" t="s">
        <v>773</v>
      </c>
      <c r="C5" s="10" t="s">
        <v>774</v>
      </c>
      <c r="D5" s="10" t="s">
        <v>775</v>
      </c>
    </row>
    <row r="6" customFormat="false" ht="15" hidden="false" customHeight="false" outlineLevel="0" collapsed="false">
      <c r="A6" s="10" t="s">
        <v>772</v>
      </c>
      <c r="B6" s="10" t="s">
        <v>283</v>
      </c>
      <c r="C6" s="10" t="s">
        <v>776</v>
      </c>
      <c r="D6" s="10" t="s">
        <v>775</v>
      </c>
    </row>
    <row r="7" customFormat="false" ht="15" hidden="false" customHeight="false" outlineLevel="0" collapsed="false">
      <c r="A7" s="10" t="s">
        <v>772</v>
      </c>
      <c r="B7" s="10" t="s">
        <v>777</v>
      </c>
      <c r="C7" s="10" t="s">
        <v>778</v>
      </c>
      <c r="D7" s="10" t="s">
        <v>775</v>
      </c>
    </row>
    <row r="8" customFormat="false" ht="15" hidden="false" customHeight="false" outlineLevel="0" collapsed="false">
      <c r="A8" s="10" t="s">
        <v>628</v>
      </c>
      <c r="B8" s="10" t="s">
        <v>779</v>
      </c>
      <c r="C8" s="10" t="s">
        <v>780</v>
      </c>
      <c r="D8" s="10" t="s">
        <v>781</v>
      </c>
    </row>
    <row r="9" customFormat="false" ht="15" hidden="false" customHeight="false" outlineLevel="0" collapsed="false">
      <c r="A9" s="10" t="s">
        <v>628</v>
      </c>
      <c r="B9" s="10" t="s">
        <v>782</v>
      </c>
      <c r="C9" s="10" t="s">
        <v>783</v>
      </c>
      <c r="D9" s="10" t="s">
        <v>781</v>
      </c>
    </row>
    <row r="10" customFormat="false" ht="15" hidden="false" customHeight="false" outlineLevel="0" collapsed="false">
      <c r="A10" s="10" t="s">
        <v>628</v>
      </c>
      <c r="B10" s="10" t="s">
        <v>784</v>
      </c>
      <c r="C10" s="10" t="s">
        <v>785</v>
      </c>
      <c r="D10" s="10" t="s">
        <v>781</v>
      </c>
    </row>
    <row r="11" customFormat="false" ht="15" hidden="false" customHeight="false" outlineLevel="0" collapsed="false">
      <c r="A11" s="10" t="s">
        <v>628</v>
      </c>
      <c r="B11" s="10" t="s">
        <v>786</v>
      </c>
      <c r="C11" s="10" t="s">
        <v>787</v>
      </c>
      <c r="D11" s="10" t="s">
        <v>781</v>
      </c>
    </row>
    <row r="12" customFormat="false" ht="15" hidden="false" customHeight="false" outlineLevel="0" collapsed="false">
      <c r="A12" s="10" t="s">
        <v>628</v>
      </c>
      <c r="B12" s="10" t="s">
        <v>788</v>
      </c>
      <c r="C12" s="10" t="s">
        <v>789</v>
      </c>
      <c r="D12" s="10" t="s">
        <v>781</v>
      </c>
    </row>
    <row r="13" customFormat="false" ht="15" hidden="false" customHeight="false" outlineLevel="0" collapsed="false">
      <c r="A13" s="10" t="s">
        <v>628</v>
      </c>
      <c r="B13" s="10" t="s">
        <v>209</v>
      </c>
      <c r="C13" s="10" t="s">
        <v>790</v>
      </c>
      <c r="D13" s="10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55"/>
  </cols>
  <sheetData>
    <row r="1" customFormat="false" ht="16.15" hidden="false" customHeight="false" outlineLevel="0" collapsed="false">
      <c r="A1" s="8" t="s">
        <v>791</v>
      </c>
    </row>
    <row r="2" customFormat="false" ht="15" hidden="false" customHeight="false" outlineLevel="0" collapsed="false">
      <c r="A2" s="2" t="s">
        <v>792</v>
      </c>
    </row>
    <row r="4" customFormat="false" ht="15" hidden="false" customHeight="false" outlineLevel="0" collapsed="false">
      <c r="A4" s="9" t="s">
        <v>306</v>
      </c>
      <c r="B4" s="9" t="s">
        <v>793</v>
      </c>
      <c r="C4" s="9" t="s">
        <v>794</v>
      </c>
      <c r="D4" s="9" t="s">
        <v>795</v>
      </c>
      <c r="E4" s="9" t="s">
        <v>796</v>
      </c>
    </row>
    <row r="5" customFormat="false" ht="15" hidden="false" customHeight="false" outlineLevel="0" collapsed="false">
      <c r="A5" s="10" t="s">
        <v>79</v>
      </c>
      <c r="B5" s="10" t="s">
        <v>78</v>
      </c>
      <c r="C5" s="10" t="s">
        <v>114</v>
      </c>
      <c r="D5" s="16" t="n">
        <v>1</v>
      </c>
      <c r="E5" s="10" t="s">
        <v>797</v>
      </c>
    </row>
    <row r="6" customFormat="false" ht="23.85" hidden="false" customHeight="false" outlineLevel="0" collapsed="false">
      <c r="A6" s="10" t="s">
        <v>344</v>
      </c>
      <c r="B6" s="10" t="s">
        <v>798</v>
      </c>
      <c r="C6" s="10" t="s">
        <v>87</v>
      </c>
      <c r="D6" s="16" t="n">
        <v>50</v>
      </c>
      <c r="E6" s="11" t="s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2026-10-25T09:21:05Z</dcterms:created>
  <dc:creator>openpyxl</dc:creator>
  <dc:description/>
  <dc:language>en-US</dc:language>
  <cp:lastModifiedBy/>
  <dcterms:modified xsi:type="dcterms:W3CDTF">2026-10-25T09:21:05Z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