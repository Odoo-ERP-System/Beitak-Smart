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Units of Measure" sheetId="2" state="visible" r:id="rId4"/>
    <sheet name="Product Categories" sheetId="3" state="visible" r:id="rId5"/>
    <sheet name="Products" sheetId="4" state="visible" r:id="rId6"/>
    <sheet name="Bills of Materials" sheetId="5" state="visible" r:id="rId7"/>
    <sheet name="Work Centers" sheetId="6" state="visible" r:id="rId8"/>
    <sheet name="Operations" sheetId="7" state="visible" r:id="rId9"/>
    <sheet name="BOM Cost Summary" sheetId="8" state="visible" r:id="rId10"/>
    <sheet name="Price Lists" sheetId="9" state="visible" r:id="rId11"/>
    <sheet name="Warehouses" sheetId="10" state="visible" r:id="rId12"/>
    <sheet name="Locations" sheetId="11" state="visible" r:id="rId13"/>
    <sheet name="Stock by Location" sheetId="12" state="visible" r:id="rId14"/>
    <sheet name="Stock by Warehouse" sheetId="13" state="visible" r:id="rId15"/>
    <sheet name="Inventory Valuation" sheetId="14" state="visible" r:id="rId16"/>
    <sheet name="Reordering Rules" sheetId="15" state="visible" r:id="rId17"/>
    <sheet name="Serial Number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<sst xmlns="http://schemas.openxmlformats.org/spreadsheetml/2006/main" count="4220" uniqueCount="651">
  <si>
    <t xml:space="preserve">Products and Inventory Data</t>
  </si>
  <si>
    <t xml:space="preserve">Beitak Smart - Odoo implementation | Entity data (GAWF). Fictional project data; assumptions on the last rows.</t>
  </si>
  <si>
    <t xml:space="preserve">Sheet</t>
  </si>
  <si>
    <t xml:space="preserve">Content</t>
  </si>
  <si>
    <t xml:space="preserve">Instructor requirement</t>
  </si>
  <si>
    <t xml:space="preserve">Units of Measure</t>
  </si>
  <si>
    <t xml:space="preserve">Units used</t>
  </si>
  <si>
    <t xml:space="preserve">Units of Measures</t>
  </si>
  <si>
    <t xml:space="preserve">Product Categories</t>
  </si>
  <si>
    <t xml:space="preserve">Categories with costing, valuation, accounts</t>
  </si>
  <si>
    <t xml:space="preserve">Entity Data 10 / Inventory Evaluation / Cost Methods</t>
  </si>
  <si>
    <t xml:space="preserve">Products</t>
  </si>
  <si>
    <t xml:space="preserve">89 products with prices, costs, vendors, tracking</t>
  </si>
  <si>
    <t xml:space="preserve">Entity Data 11 - Chart of Products</t>
  </si>
  <si>
    <t xml:space="preserve">Bills of Materials</t>
  </si>
  <si>
    <t xml:space="preserve">Components per manufactured product</t>
  </si>
  <si>
    <t xml:space="preserve">Manufacturing</t>
  </si>
  <si>
    <t xml:space="preserve">Work Centers</t>
  </si>
  <si>
    <t xml:space="preserve">Work centers and hourly cost</t>
  </si>
  <si>
    <t xml:space="preserve">Operations</t>
  </si>
  <si>
    <t xml:space="preserve">Routing per BOM</t>
  </si>
  <si>
    <t xml:space="preserve">BOM Cost Summary</t>
  </si>
  <si>
    <t xml:space="preserve">Cost roll-up check</t>
  </si>
  <si>
    <t xml:space="preserve">Cost Methods of Products</t>
  </si>
  <si>
    <t xml:space="preserve">Price Lists</t>
  </si>
  <si>
    <t xml:space="preserve">Retail, wholesale, distributors, key accounts</t>
  </si>
  <si>
    <t xml:space="preserve">Entity Data 12 - Price Lists</t>
  </si>
  <si>
    <t xml:space="preserve">Warehouses</t>
  </si>
  <si>
    <t xml:space="preserve">Warehouses, steps, routes</t>
  </si>
  <si>
    <t xml:space="preserve">Warehouse, Locations, Routes, Operations</t>
  </si>
  <si>
    <t xml:space="preserve">Locations</t>
  </si>
  <si>
    <t xml:space="preserve">All internal locations</t>
  </si>
  <si>
    <t xml:space="preserve">Warehouse, Locations</t>
  </si>
  <si>
    <t xml:space="preserve">Stock by Location</t>
  </si>
  <si>
    <t xml:space="preserve">Opening stock by product and location</t>
  </si>
  <si>
    <t xml:space="preserve">Entity Data 13 - by Locations</t>
  </si>
  <si>
    <t xml:space="preserve">Stock by Warehouse</t>
  </si>
  <si>
    <t xml:space="preserve">Opening stock pivot by warehouse</t>
  </si>
  <si>
    <t xml:space="preserve">Entity Data 13 - by Warehouse / by Products</t>
  </si>
  <si>
    <t xml:space="preserve">Inventory Valuation</t>
  </si>
  <si>
    <t xml:space="preserve">Stock value by inventory account vs TB</t>
  </si>
  <si>
    <t xml:space="preserve">Inventory Evaluation</t>
  </si>
  <si>
    <t xml:space="preserve">Reordering Rules</t>
  </si>
  <si>
    <t xml:space="preserve">Min/max replenishment</t>
  </si>
  <si>
    <t xml:space="preserve">Operations / pain point stock-outs</t>
  </si>
  <si>
    <t xml:space="preserve">Serial Numbers</t>
  </si>
  <si>
    <t xml:space="preserve">Serial tracking summary</t>
  </si>
  <si>
    <t xml:space="preserve">Warranty traceability</t>
  </si>
  <si>
    <t xml:space="preserve">Assumptions</t>
  </si>
  <si>
    <t xml:space="preserve">Odoo version</t>
  </si>
  <si>
    <t xml:space="preserve">Files target Odoo 18/19 field names (type=Goods + is_storable). On Odoo 17 replace 'type'+'is_storable' with 'detailed_type' = product.</t>
  </si>
  <si>
    <t xml:space="preserve">Database</t>
  </si>
  <si>
    <t xml:space="preserve">Designed for a NEW clean database with the Egypt fiscal localization. Importing into the old database will clash with existing account codes and products.</t>
  </si>
  <si>
    <t xml:space="preserve">Exchange rate</t>
  </si>
  <si>
    <t xml:space="preserve">USD/EGP = 50.00 on 2027-01-01. Project assumption, not an official CBE rate.</t>
  </si>
  <si>
    <t xml:space="preserve">Landed costs</t>
  </si>
  <si>
    <t xml:space="preserve">Cost of imported items = FOB price x 50 x 1.10 (about 10% for freight, duties, clearance and insurance). Assumption.</t>
  </si>
  <si>
    <t xml:space="preserve">Sales prices</t>
  </si>
  <si>
    <t xml:space="preserve">Sales prices are VAT-exclusive. VAT 14% comes from the Egypt localization default taxes.</t>
  </si>
  <si>
    <t xml:space="preserve">Costing</t>
  </si>
  <si>
    <t xml:space="preserve">AVCO + automated (perpetual) valuation on all stockable categories. Needed for Landed Costs.</t>
  </si>
  <si>
    <t xml:space="preserve">Opening stock</t>
  </si>
  <si>
    <t xml:space="preserve">Stock is loaded through Physical Inventory with accounting date 2027-01-01. Its counterpart is account 190100 Opening Stock Clearing, which the opening journal entry closes to zero.</t>
  </si>
  <si>
    <t xml:space="preserve">Taxes</t>
  </si>
  <si>
    <t xml:space="preserve">VAT 14% and withholding tax 1% / 2% / 3% (team decision). Rates, categories and thresholds must be reviewed by a tax specialist before go-live.</t>
  </si>
  <si>
    <t xml:space="preserve">Personal data</t>
  </si>
  <si>
    <t xml:space="preserve">All names, emails, phones, tax IDs and bank numbers are fictional placeholders (.example domains).</t>
  </si>
  <si>
    <t xml:space="preserve">Only standard Odoo units are used, so no UoM import is needed. Purchase UoM = sales UoM.</t>
  </si>
  <si>
    <t xml:space="preserve">Unit</t>
  </si>
  <si>
    <t xml:space="preserve">Category</t>
  </si>
  <si>
    <t xml:space="preserve">Used For</t>
  </si>
  <si>
    <t xml:space="preserve">Units</t>
  </si>
  <si>
    <t xml:space="preserve">Appliances, components, kits, services</t>
  </si>
  <si>
    <t xml:space="preserve">kg</t>
  </si>
  <si>
    <t xml:space="preserve">Weight</t>
  </si>
  <si>
    <t xml:space="preserve">Steel and stainless sheets, powder coating, rubber, aluminum fins, solder</t>
  </si>
  <si>
    <t xml:space="preserve">m</t>
  </si>
  <si>
    <t xml:space="preserve">Length</t>
  </si>
  <si>
    <t xml:space="preserve">Copper wire, copper tube</t>
  </si>
  <si>
    <t xml:space="preserve">Chart of Product Categories</t>
  </si>
  <si>
    <t xml:space="preserve">Inventory valuation: AVCO + automated. Accounts drive the automatic journal entries of every stock move.</t>
  </si>
  <si>
    <t xml:space="preserve">Parent</t>
  </si>
  <si>
    <t xml:space="preserve">Costing Method</t>
  </si>
  <si>
    <t xml:space="preserve">Valuation</t>
  </si>
  <si>
    <t xml:space="preserve">Stock Valuation Acc.</t>
  </si>
  <si>
    <t xml:space="preserve">Stock Input Acc.</t>
  </si>
  <si>
    <t xml:space="preserve">Stock Output Acc.</t>
  </si>
  <si>
    <t xml:space="preserve">Price Difference Acc.</t>
  </si>
  <si>
    <t xml:space="preserve">Income Acc.</t>
  </si>
  <si>
    <t xml:space="preserve">Expense / COGS Acc.</t>
  </si>
  <si>
    <t xml:space="preserve">Team file name</t>
  </si>
  <si>
    <t xml:space="preserve">Air Conditioners &amp; Fans</t>
  </si>
  <si>
    <t xml:space="preserve">-</t>
  </si>
  <si>
    <t xml:space="preserve">AVCO</t>
  </si>
  <si>
    <t xml:space="preserve">Automated</t>
  </si>
  <si>
    <t xml:space="preserve">120300</t>
  </si>
  <si>
    <t xml:space="preserve">120900</t>
  </si>
  <si>
    <t xml:space="preserve">120901</t>
  </si>
  <si>
    <t xml:space="preserve">410900</t>
  </si>
  <si>
    <t xml:space="preserve">510100</t>
  </si>
  <si>
    <t xml:space="preserve">410100</t>
  </si>
  <si>
    <t xml:space="preserve">Air Conditioners</t>
  </si>
  <si>
    <t xml:space="preserve">Cookers &amp; Ovens</t>
  </si>
  <si>
    <t xml:space="preserve">120550</t>
  </si>
  <si>
    <t xml:space="preserve">Refrigerators &amp; Freezers</t>
  </si>
  <si>
    <t xml:space="preserve">120100</t>
  </si>
  <si>
    <t xml:space="preserve">Refrigerators</t>
  </si>
  <si>
    <t xml:space="preserve">Washing Machines &amp; Dishwashers</t>
  </si>
  <si>
    <t xml:space="preserve">120200</t>
  </si>
  <si>
    <t xml:space="preserve">Washing Machines</t>
  </si>
  <si>
    <t xml:space="preserve">TVs &amp; Audio</t>
  </si>
  <si>
    <t xml:space="preserve">120400</t>
  </si>
  <si>
    <t xml:space="preserve">510200</t>
  </si>
  <si>
    <t xml:space="preserve">410200</t>
  </si>
  <si>
    <t xml:space="preserve">Small Appliances</t>
  </si>
  <si>
    <t xml:space="preserve">120500</t>
  </si>
  <si>
    <t xml:space="preserve">510300</t>
  </si>
  <si>
    <t xml:space="preserve">410300</t>
  </si>
  <si>
    <t xml:space="preserve">Small Appliances / Kitchen &amp; Home Care</t>
  </si>
  <si>
    <t xml:space="preserve">Small Appliances / Kitchen</t>
  </si>
  <si>
    <t xml:space="preserve">Manufactured</t>
  </si>
  <si>
    <t xml:space="preserve">120600</t>
  </si>
  <si>
    <t xml:space="preserve">510400</t>
  </si>
  <si>
    <t xml:space="preserve">410400</t>
  </si>
  <si>
    <t xml:space="preserve">Manufactured / Accessories</t>
  </si>
  <si>
    <t xml:space="preserve">Manufactured / Components</t>
  </si>
  <si>
    <t xml:space="preserve">Manufactured / Electronics</t>
  </si>
  <si>
    <t xml:space="preserve">Manufactured / Harnesses</t>
  </si>
  <si>
    <t xml:space="preserve">Manufactured / Metal Casings</t>
  </si>
  <si>
    <t xml:space="preserve">Manufactured / Power Units</t>
  </si>
  <si>
    <t xml:space="preserve">Manufactured / Fans</t>
  </si>
  <si>
    <t xml:space="preserve">(new)</t>
  </si>
  <si>
    <t xml:space="preserve">Raw Materials</t>
  </si>
  <si>
    <t xml:space="preserve">120800</t>
  </si>
  <si>
    <t xml:space="preserve">Raw Materials / Electronic Components</t>
  </si>
  <si>
    <t xml:space="preserve">Raw Materials / Fan Parts</t>
  </si>
  <si>
    <t xml:space="preserve">Raw Materials / Metals</t>
  </si>
  <si>
    <t xml:space="preserve">Raw Materials / Plastics &amp; Rubber</t>
  </si>
  <si>
    <t xml:space="preserve">Raw Materials / Electrical</t>
  </si>
  <si>
    <t xml:space="preserve">Raw Materials / Packaging &amp; Fasteners</t>
  </si>
  <si>
    <t xml:space="preserve">Installation &amp; Services</t>
  </si>
  <si>
    <t xml:space="preserve">Standard</t>
  </si>
  <si>
    <t xml:space="preserve">Manual</t>
  </si>
  <si>
    <t xml:space="preserve">510500</t>
  </si>
  <si>
    <t xml:space="preserve">410500</t>
  </si>
  <si>
    <t xml:space="preserve">Landed Costs</t>
  </si>
  <si>
    <t xml:space="preserve">Chart of Products</t>
  </si>
  <si>
    <t xml:space="preserve">Prices VAT-exclusive. Cost of imported items includes ~10% landed costs (assumption). Manufactured cost = BOM components + operations.</t>
  </si>
  <si>
    <t xml:space="preserve">Internal Ref</t>
  </si>
  <si>
    <t xml:space="preserve">Product</t>
  </si>
  <si>
    <t xml:space="preserve">Kind</t>
  </si>
  <si>
    <t xml:space="preserve">Type</t>
  </si>
  <si>
    <t xml:space="preserve">Track Inventory</t>
  </si>
  <si>
    <t xml:space="preserve">Tracking</t>
  </si>
  <si>
    <t xml:space="preserve">UoM</t>
  </si>
  <si>
    <t xml:space="preserve">Sales Price</t>
  </si>
  <si>
    <t xml:space="preserve">Cost</t>
  </si>
  <si>
    <t xml:space="preserve">Margin %</t>
  </si>
  <si>
    <t xml:space="preserve">Route</t>
  </si>
  <si>
    <t xml:space="preserve">Vendor</t>
  </si>
  <si>
    <t xml:space="preserve">Vendor Price</t>
  </si>
  <si>
    <t xml:space="preserve">Vendor Currency</t>
  </si>
  <si>
    <t xml:space="preserve">Lead Time (days)</t>
  </si>
  <si>
    <t xml:space="preserve">POS</t>
  </si>
  <si>
    <t xml:space="preserve">Barcode</t>
  </si>
  <si>
    <t xml:space="preserve">Opening Qty</t>
  </si>
  <si>
    <t xml:space="preserve">Opening Value</t>
  </si>
  <si>
    <t xml:space="preserve">BTK-COM-001</t>
  </si>
  <si>
    <t xml:space="preserve">Sharp Refrigerator 18 Cu. Ft. No-Frost Stainless SJ-GV58G-SL</t>
  </si>
  <si>
    <t xml:space="preserve">Trading</t>
  </si>
  <si>
    <t xml:space="preserve">Goods</t>
  </si>
  <si>
    <t xml:space="preserve">Yes</t>
  </si>
  <si>
    <t xml:space="preserve">Serial</t>
  </si>
  <si>
    <t xml:space="preserve">Buy</t>
  </si>
  <si>
    <t xml:space="preserve">Egyptian Home Industries Agency</t>
  </si>
  <si>
    <t xml:space="preserve">EGP</t>
  </si>
  <si>
    <t xml:space="preserve">2000000000015</t>
  </si>
  <si>
    <t xml:space="preserve">BTK-COM-002</t>
  </si>
  <si>
    <t xml:space="preserve">LG Refrigerator 20 Cu. Ft. Digital Inverter GN-B5722HLHU</t>
  </si>
  <si>
    <t xml:space="preserve">Delta Distribution for Home Appliances</t>
  </si>
  <si>
    <t xml:space="preserve">2000000000022</t>
  </si>
  <si>
    <t xml:space="preserve">BTK-COM-003</t>
  </si>
  <si>
    <t xml:space="preserve">Samsung Refrigerator 22 Cu. Ft. Side-by-Side RS62R5001M9</t>
  </si>
  <si>
    <t xml:space="preserve">2000000000039</t>
  </si>
  <si>
    <t xml:space="preserve">BTK-COM-004</t>
  </si>
  <si>
    <t xml:space="preserve">Tornado Refrigerator 14 Cu. Ft. No-Frost RF-48T-SL</t>
  </si>
  <si>
    <t xml:space="preserve">2000000000046</t>
  </si>
  <si>
    <t xml:space="preserve">BTK-COM-005</t>
  </si>
  <si>
    <t xml:space="preserve">Kiriazi Refrigerator 16 Cu. Ft. Zomoroda No-Frost K330</t>
  </si>
  <si>
    <t xml:space="preserve">2000000000053</t>
  </si>
  <si>
    <t xml:space="preserve">BTK-COM-006</t>
  </si>
  <si>
    <t xml:space="preserve">Toshiba Deep Freezer 5 Drawers No-Frost GF-18H-S</t>
  </si>
  <si>
    <t xml:space="preserve">2000000000060</t>
  </si>
  <si>
    <t xml:space="preserve">BTK-COM-007</t>
  </si>
  <si>
    <t xml:space="preserve">Beko Upright Deep Freezer 7 Drawers RFNE260E13S</t>
  </si>
  <si>
    <t xml:space="preserve">2000000000077</t>
  </si>
  <si>
    <t xml:space="preserve">BTK-COM-008</t>
  </si>
  <si>
    <t xml:space="preserve">Kiriazi Deep Freezer 4 Drawers E220</t>
  </si>
  <si>
    <t xml:space="preserve">2000000000084</t>
  </si>
  <si>
    <t xml:space="preserve">BTK-COM-009</t>
  </si>
  <si>
    <t xml:space="preserve">LG Front Load Washer 9 Kg Inverter Steam F4R5VGG2E</t>
  </si>
  <si>
    <t xml:space="preserve">2000000000091</t>
  </si>
  <si>
    <t xml:space="preserve">BTK-COM-010</t>
  </si>
  <si>
    <t xml:space="preserve">Samsung Washing Machine 8 Kg Inverter Steam WW80TA046AX</t>
  </si>
  <si>
    <t xml:space="preserve">2000000000107</t>
  </si>
  <si>
    <t xml:space="preserve">BTK-COM-011</t>
  </si>
  <si>
    <t xml:space="preserve">Zanussi Front Load Washing Machine 7 Kg 1000 RPM ZWF70240S</t>
  </si>
  <si>
    <t xml:space="preserve">2000000000114</t>
  </si>
  <si>
    <t xml:space="preserve">BTK-COM-012</t>
  </si>
  <si>
    <t xml:space="preserve">Toshiba Top Load Washing Machine 10 Kg AEW-E1050SUP</t>
  </si>
  <si>
    <t xml:space="preserve">2000000000121</t>
  </si>
  <si>
    <t xml:space="preserve">BTK-COM-013</t>
  </si>
  <si>
    <t xml:space="preserve">Tornado Top Load Washing Machine 13 Kg TWT-13RND</t>
  </si>
  <si>
    <t xml:space="preserve">2000000000138</t>
  </si>
  <si>
    <t xml:space="preserve">BTK-COM-014</t>
  </si>
  <si>
    <t xml:space="preserve">Beko Dishwasher 14 Persons Stainless Steel DFN05320S</t>
  </si>
  <si>
    <t xml:space="preserve">2000000000145</t>
  </si>
  <si>
    <t xml:space="preserve">BTK-COM-015</t>
  </si>
  <si>
    <t xml:space="preserve">Bosch Dishwasher 13 Persons 6 Programs SMS4ECW14M</t>
  </si>
  <si>
    <t xml:space="preserve">2000000000152</t>
  </si>
  <si>
    <t xml:space="preserve">BTK-COM-016</t>
  </si>
  <si>
    <t xml:space="preserve">Sharp Dishwasher 15 Persons 8 Programs QW-V1014M-SS</t>
  </si>
  <si>
    <t xml:space="preserve">2000000000169</t>
  </si>
  <si>
    <t xml:space="preserve">BTK-COM-017</t>
  </si>
  <si>
    <t xml:space="preserve">Carrier Split AC 1.5 HP Cool/Heat Inverter Optimax</t>
  </si>
  <si>
    <t xml:space="preserve">Guangzhou Coolair Appliances Co., Ltd.</t>
  </si>
  <si>
    <t xml:space="preserve">USD</t>
  </si>
  <si>
    <t xml:space="preserve">2000000000176</t>
  </si>
  <si>
    <t xml:space="preserve">BTK-COM-018</t>
  </si>
  <si>
    <t xml:space="preserve">Sharp Split AC 1.5 HP Cool Only Plasmacluster AH-A12YSE</t>
  </si>
  <si>
    <t xml:space="preserve">2000000000183</t>
  </si>
  <si>
    <t xml:space="preserve">BTK-COM-019</t>
  </si>
  <si>
    <t xml:space="preserve">Midea Split AC 2.25 HP Cool/Heat Inverter Mission</t>
  </si>
  <si>
    <t xml:space="preserve">2000000000190</t>
  </si>
  <si>
    <t xml:space="preserve">BTK-COM-020</t>
  </si>
  <si>
    <t xml:space="preserve">LG Split AC 3.0 HP Inverter Artcool S-3W24K22A</t>
  </si>
  <si>
    <t xml:space="preserve">2000000000206</t>
  </si>
  <si>
    <t xml:space="preserve">BTK-COM-021</t>
  </si>
  <si>
    <t xml:space="preserve">Tornado Stand Fan 16 Inch with Remote Control EFS-36</t>
  </si>
  <si>
    <t xml:space="preserve">2000000000213</t>
  </si>
  <si>
    <t xml:space="preserve">BTK-COM-022</t>
  </si>
  <si>
    <t xml:space="preserve">Toshiba Ceiling Fan 56 Inch PS-56</t>
  </si>
  <si>
    <t xml:space="preserve">2000000000220</t>
  </si>
  <si>
    <t xml:space="preserve">BTK-COM-023</t>
  </si>
  <si>
    <t xml:space="preserve">Fresh Gas Cooker Forno 5 Burners Full Safety 90x60</t>
  </si>
  <si>
    <t xml:space="preserve">2000000000237</t>
  </si>
  <si>
    <t xml:space="preserve">BTK-COM-024</t>
  </si>
  <si>
    <t xml:space="preserve">La Germania Gas Cooker 5 Burners Stainless AMS95C81BX</t>
  </si>
  <si>
    <t xml:space="preserve">2000000000244</t>
  </si>
  <si>
    <t xml:space="preserve">BTK-COM-025</t>
  </si>
  <si>
    <t xml:space="preserve">Kiriazi Gas Cooker 5 Burners Classic 90x60</t>
  </si>
  <si>
    <t xml:space="preserve">2000000000251</t>
  </si>
  <si>
    <t xml:space="preserve">BTK-COM-026</t>
  </si>
  <si>
    <t xml:space="preserve">Sharp Microwave Oven 25 Liters 900W R-750R-S</t>
  </si>
  <si>
    <t xml:space="preserve">2000000000268</t>
  </si>
  <si>
    <t xml:space="preserve">BTK-COM-027</t>
  </si>
  <si>
    <t xml:space="preserve">Samsung Microwave Oven 32 Liters with Grill MG32J5133AM</t>
  </si>
  <si>
    <t xml:space="preserve">2000000000275</t>
  </si>
  <si>
    <t xml:space="preserve">BTK-COM-028</t>
  </si>
  <si>
    <t xml:space="preserve">Fresh Electric Oven 48 Liters with Convection Fan</t>
  </si>
  <si>
    <t xml:space="preserve">2000000000282</t>
  </si>
  <si>
    <t xml:space="preserve">BTK-COM-029</t>
  </si>
  <si>
    <t xml:space="preserve">Samsung Smart TV 55 Inch 4K Crystal UHD CU7000</t>
  </si>
  <si>
    <t xml:space="preserve">2000000000299</t>
  </si>
  <si>
    <t xml:space="preserve">BTK-COM-030</t>
  </si>
  <si>
    <t xml:space="preserve">LG Smart TV 50 Inch 4K UHD UR78006LK</t>
  </si>
  <si>
    <t xml:space="preserve">2000000000305</t>
  </si>
  <si>
    <t xml:space="preserve">BTK-COM-031</t>
  </si>
  <si>
    <t xml:space="preserve">Toshiba Smart TV 43 Inch Full HD 43V35KW</t>
  </si>
  <si>
    <t xml:space="preserve">2000000000312</t>
  </si>
  <si>
    <t xml:space="preserve">BTK-COM-032</t>
  </si>
  <si>
    <t xml:space="preserve">Tornado LED TV 32 Inch HD 32ES9500E</t>
  </si>
  <si>
    <t xml:space="preserve">2000000000329</t>
  </si>
  <si>
    <t xml:space="preserve">BTK-COM-033</t>
  </si>
  <si>
    <t xml:space="preserve">LG OLED TV 65 Inch EVO C3 4K Smart TV</t>
  </si>
  <si>
    <t xml:space="preserve">2000000000336</t>
  </si>
  <si>
    <t xml:space="preserve">BTK-COM-034</t>
  </si>
  <si>
    <t xml:space="preserve">JBL Soundbar 2.1 Deep Bass with Wireless Subwoofer</t>
  </si>
  <si>
    <t xml:space="preserve">Nile Electronics Trading Co.</t>
  </si>
  <si>
    <t xml:space="preserve">2000000000343</t>
  </si>
  <si>
    <t xml:space="preserve">BTK-COM-035</t>
  </si>
  <si>
    <t xml:space="preserve">Moulinex French Blender 450W with Grinder LM242B25</t>
  </si>
  <si>
    <t xml:space="preserve">2000000000350</t>
  </si>
  <si>
    <t xml:space="preserve">BTK-COM-036</t>
  </si>
  <si>
    <t xml:space="preserve">Philips Airfryer XL 6.2L 2000W HD9270</t>
  </si>
  <si>
    <t xml:space="preserve">2000000000367</t>
  </si>
  <si>
    <t xml:space="preserve">BTK-COM-037</t>
  </si>
  <si>
    <t xml:space="preserve">Kenwood Food Processor 1000W 3L Bowl FDP65.820SI</t>
  </si>
  <si>
    <t xml:space="preserve">2000000000374</t>
  </si>
  <si>
    <t xml:space="preserve">BTK-COM-038</t>
  </si>
  <si>
    <t xml:space="preserve">Braun Electric Kettle Stainless Steel 1.7L WK5110</t>
  </si>
  <si>
    <t xml:space="preserve">2000000000381</t>
  </si>
  <si>
    <t xml:space="preserve">BTK-COM-039</t>
  </si>
  <si>
    <t xml:space="preserve">DeLonghi Espresso Machine Dedica 15 Bar EC685.M</t>
  </si>
  <si>
    <t xml:space="preserve">2000000000398</t>
  </si>
  <si>
    <t xml:space="preserve">BTK-COM-040</t>
  </si>
  <si>
    <t xml:space="preserve">Panasonic Vacuum Cleaner 2000W Drum Type MC-YL633</t>
  </si>
  <si>
    <t xml:space="preserve">2000000000404</t>
  </si>
  <si>
    <t xml:space="preserve">BTK-MFG-001</t>
  </si>
  <si>
    <t xml:space="preserve">Electronic Control PCB Board for Automatic Washer</t>
  </si>
  <si>
    <t xml:space="preserve">Manufacture</t>
  </si>
  <si>
    <t xml:space="preserve">No</t>
  </si>
  <si>
    <t xml:space="preserve">2000000000411</t>
  </si>
  <si>
    <t xml:space="preserve">BTK-MFG-002</t>
  </si>
  <si>
    <t xml:space="preserve">Refrigeration Wiring Harness Assembly</t>
  </si>
  <si>
    <t xml:space="preserve">2000000000428</t>
  </si>
  <si>
    <t xml:space="preserve">BTK-MFG-003</t>
  </si>
  <si>
    <t xml:space="preserve">Outdoor Metal Casing Body for 1.5 HP AC Unit</t>
  </si>
  <si>
    <t xml:space="preserve">2000000000435</t>
  </si>
  <si>
    <t xml:space="preserve">BTK-MFG-004</t>
  </si>
  <si>
    <t xml:space="preserve">Adjustable TV Wall Mount Bracket 32-65 Inch</t>
  </si>
  <si>
    <t xml:space="preserve">2000000000442</t>
  </si>
  <si>
    <t xml:space="preserve">BTK-MFG-005</t>
  </si>
  <si>
    <t xml:space="preserve">Anti-Vibration Rubber Base Pad for Washing Machines</t>
  </si>
  <si>
    <t xml:space="preserve">2000000000459</t>
  </si>
  <si>
    <t xml:space="preserve">BTK-MFG-006</t>
  </si>
  <si>
    <t xml:space="preserve">Power Distribution Unit &amp; Surge Protector 6-Socket</t>
  </si>
  <si>
    <t xml:space="preserve">2000000000466</t>
  </si>
  <si>
    <t xml:space="preserve">BTK-MFG-007</t>
  </si>
  <si>
    <t xml:space="preserve">Inverter Remote Fan Control Board</t>
  </si>
  <si>
    <t xml:space="preserve">2000000000473</t>
  </si>
  <si>
    <t xml:space="preserve">BTK-MFG-008</t>
  </si>
  <si>
    <t xml:space="preserve">Thermal Condenser Assembly for Home Appliances</t>
  </si>
  <si>
    <t xml:space="preserve">2000000000480</t>
  </si>
  <si>
    <t xml:space="preserve">BTK-MFG-009</t>
  </si>
  <si>
    <t xml:space="preserve">Stainless Steel Gas Cooker Control Knob Box</t>
  </si>
  <si>
    <t xml:space="preserve">2000000000497</t>
  </si>
  <si>
    <t xml:space="preserve">BTK-MFG-010</t>
  </si>
  <si>
    <t xml:space="preserve">Desert Cooler Water Filter &amp; Purification Unit</t>
  </si>
  <si>
    <t xml:space="preserve">2000000000503</t>
  </si>
  <si>
    <t xml:space="preserve">BTK-MFG-011</t>
  </si>
  <si>
    <t xml:space="preserve">Beitak Stand Fan 16 Inch with Remote Control</t>
  </si>
  <si>
    <t xml:space="preserve">2000000000510</t>
  </si>
  <si>
    <t xml:space="preserve">BTK-RM-001</t>
  </si>
  <si>
    <t xml:space="preserve">PCB Blank Board FR4 Double Layer</t>
  </si>
  <si>
    <t xml:space="preserve">Raw Material</t>
  </si>
  <si>
    <t xml:space="preserve">Shenzhen Brightway Electronics Co., Ltd.</t>
  </si>
  <si>
    <t xml:space="preserve">BTK-RM-002</t>
  </si>
  <si>
    <t xml:space="preserve">Electronic Components Kit - Fan Controller</t>
  </si>
  <si>
    <t xml:space="preserve">BTK-RM-003</t>
  </si>
  <si>
    <t xml:space="preserve">Electronic Components Kit - Washer Controller</t>
  </si>
  <si>
    <t xml:space="preserve">BTK-RM-004</t>
  </si>
  <si>
    <t xml:space="preserve">Relay Module 16A</t>
  </si>
  <si>
    <t xml:space="preserve">BTK-RM-005</t>
  </si>
  <si>
    <t xml:space="preserve">Infrared Remote Control Unit</t>
  </si>
  <si>
    <t xml:space="preserve">BTK-RM-006</t>
  </si>
  <si>
    <t xml:space="preserve">IR Receiver Module</t>
  </si>
  <si>
    <t xml:space="preserve">BTK-RM-007</t>
  </si>
  <si>
    <t xml:space="preserve">Surge Protection Module (MOV)</t>
  </si>
  <si>
    <t xml:space="preserve">BTK-RM-008</t>
  </si>
  <si>
    <t xml:space="preserve">Fan Motor 16 Inch 55W</t>
  </si>
  <si>
    <t xml:space="preserve">Ningbo Fanmotor Industrial Co., Ltd.</t>
  </si>
  <si>
    <t xml:space="preserve">BTK-RM-009</t>
  </si>
  <si>
    <t xml:space="preserve">Fan Blade Set 16 Inch (3 Blades)</t>
  </si>
  <si>
    <t xml:space="preserve">BTK-RM-010</t>
  </si>
  <si>
    <t xml:space="preserve">Fan Safety Guard Set 16 Inch (Front &amp; Rear)</t>
  </si>
  <si>
    <t xml:space="preserve">BTK-RM-011</t>
  </si>
  <si>
    <t xml:space="preserve">Fan Motor Housing Shell Set</t>
  </si>
  <si>
    <t xml:space="preserve">BTK-RM-012</t>
  </si>
  <si>
    <t xml:space="preserve">Galvanized Steel Sheet 1.0 mm</t>
  </si>
  <si>
    <t xml:space="preserve">Egyptian Steel Sheets Co.</t>
  </si>
  <si>
    <t xml:space="preserve">BTK-RM-013</t>
  </si>
  <si>
    <t xml:space="preserve">Stainless Steel Sheet 0.8 mm</t>
  </si>
  <si>
    <t xml:space="preserve">BTK-RM-014</t>
  </si>
  <si>
    <t xml:space="preserve">Powder Coating Paint</t>
  </si>
  <si>
    <t xml:space="preserve">BTK-RM-015</t>
  </si>
  <si>
    <t xml:space="preserve">Telescopic Fan Stand Pole (Steel)</t>
  </si>
  <si>
    <t xml:space="preserve">BTK-RM-016</t>
  </si>
  <si>
    <t xml:space="preserve">Rubber Compound (EPDM)</t>
  </si>
  <si>
    <t xml:space="preserve">Delta Plastics &amp; Rubber</t>
  </si>
  <si>
    <t xml:space="preserve">BTK-RM-017</t>
  </si>
  <si>
    <t xml:space="preserve">Fan Cross Base with Weights</t>
  </si>
  <si>
    <t xml:space="preserve">BTK-RM-018</t>
  </si>
  <si>
    <t xml:space="preserve">PDU Plastic Housing 6-Socket</t>
  </si>
  <si>
    <t xml:space="preserve">BTK-RM-019</t>
  </si>
  <si>
    <t xml:space="preserve">Socket Module 16A</t>
  </si>
  <si>
    <t xml:space="preserve">BTK-RM-020</t>
  </si>
  <si>
    <t xml:space="preserve">Control Knobs Set (5 pcs)</t>
  </si>
  <si>
    <t xml:space="preserve">BTK-RM-021</t>
  </si>
  <si>
    <t xml:space="preserve">Water Filter Housing</t>
  </si>
  <si>
    <t xml:space="preserve">BTK-RM-022</t>
  </si>
  <si>
    <t xml:space="preserve">Water Filter Cartridge</t>
  </si>
  <si>
    <t xml:space="preserve">BTK-RM-023</t>
  </si>
  <si>
    <t xml:space="preserve">Copper Wire 1.5 mm2</t>
  </si>
  <si>
    <t xml:space="preserve">Misr Copper &amp; Cables</t>
  </si>
  <si>
    <t xml:space="preserve">BTK-RM-024</t>
  </si>
  <si>
    <t xml:space="preserve">Power Cord with Plug 1.8 m</t>
  </si>
  <si>
    <t xml:space="preserve">BTK-RM-025</t>
  </si>
  <si>
    <t xml:space="preserve">Wire Connectors &amp; Terminals Kit</t>
  </si>
  <si>
    <t xml:space="preserve">BTK-RM-026</t>
  </si>
  <si>
    <t xml:space="preserve">Copper Tube 3/8 Inch</t>
  </si>
  <si>
    <t xml:space="preserve">BTK-RM-027</t>
  </si>
  <si>
    <t xml:space="preserve">Aluminum Fins Sheet</t>
  </si>
  <si>
    <t xml:space="preserve">BTK-RM-028</t>
  </si>
  <si>
    <t xml:space="preserve">Solder Wire Tin-Lead</t>
  </si>
  <si>
    <t xml:space="preserve">BTK-RM-029</t>
  </si>
  <si>
    <t xml:space="preserve">Carton Box &amp; Foam - Fan 16 Inch</t>
  </si>
  <si>
    <t xml:space="preserve">Cairo Packaging Co.</t>
  </si>
  <si>
    <t xml:space="preserve">BTK-RM-030</t>
  </si>
  <si>
    <t xml:space="preserve">Carton Box - Small Accessories</t>
  </si>
  <si>
    <t xml:space="preserve">BTK-RM-031</t>
  </si>
  <si>
    <t xml:space="preserve">Screws &amp; Fasteners Kit</t>
  </si>
  <si>
    <t xml:space="preserve">BTK-RM-032</t>
  </si>
  <si>
    <t xml:space="preserve">User Manual &amp; Warranty Card</t>
  </si>
  <si>
    <t xml:space="preserve">BTK-SRV-001</t>
  </si>
  <si>
    <t xml:space="preserve">Installation Service - Air Conditioner</t>
  </si>
  <si>
    <t xml:space="preserve">Service</t>
  </si>
  <si>
    <t xml:space="preserve">BTK-SRV-002</t>
  </si>
  <si>
    <t xml:space="preserve">Installation Service - TV Wall Mount</t>
  </si>
  <si>
    <t xml:space="preserve">BTK-LC-001</t>
  </si>
  <si>
    <t xml:space="preserve">Sea Freight (Landed Cost)</t>
  </si>
  <si>
    <t xml:space="preserve">BTK-LC-002</t>
  </si>
  <si>
    <t xml:space="preserve">Customs Duties (Landed Cost)</t>
  </si>
  <si>
    <t xml:space="preserve">BTK-LC-003</t>
  </si>
  <si>
    <t xml:space="preserve">Customs Clearance &amp; Port Fees (Landed Cost)</t>
  </si>
  <si>
    <t xml:space="preserve">BTK-LC-004</t>
  </si>
  <si>
    <t xml:space="preserve">Marine Insurance (Landed Cost)</t>
  </si>
  <si>
    <t xml:space="preserve">Total</t>
  </si>
  <si>
    <t xml:space="preserve">11 BOMs. BOM-MFG-007 (fan control board) is a sub-assembly used inside BOM-MFG-011 (Beitak Stand Fan) = multi-level BOM.</t>
  </si>
  <si>
    <t xml:space="preserve">BOM</t>
  </si>
  <si>
    <t xml:space="preserve">Finished Ref</t>
  </si>
  <si>
    <t xml:space="preserve">Finished Product</t>
  </si>
  <si>
    <t xml:space="preserve">Component Ref</t>
  </si>
  <si>
    <t xml:space="preserve">Component</t>
  </si>
  <si>
    <t xml:space="preserve">Qty per Unit</t>
  </si>
  <si>
    <t xml:space="preserve">Unit Cost</t>
  </si>
  <si>
    <t xml:space="preserve">Line Cost</t>
  </si>
  <si>
    <t xml:space="preserve">BOM-MFG-007</t>
  </si>
  <si>
    <t xml:space="preserve">BOM-MFG-001</t>
  </si>
  <si>
    <t xml:space="preserve">BOM-MFG-002</t>
  </si>
  <si>
    <t xml:space="preserve">BOM-MFG-003</t>
  </si>
  <si>
    <t xml:space="preserve">BOM-MFG-004</t>
  </si>
  <si>
    <t xml:space="preserve">BOM-MFG-005</t>
  </si>
  <si>
    <t xml:space="preserve">BOM-MFG-006</t>
  </si>
  <si>
    <t xml:space="preserve">BOM-MFG-008</t>
  </si>
  <si>
    <t xml:space="preserve">BOM-MFG-009</t>
  </si>
  <si>
    <t xml:space="preserve">BOM-MFG-010</t>
  </si>
  <si>
    <t xml:space="preserve">BOM-MFG-011</t>
  </si>
  <si>
    <t xml:space="preserve">Cost per hour feeds the manufacturing cost (setup and cleanup time = 0).</t>
  </si>
  <si>
    <t xml:space="preserve">Code</t>
  </si>
  <si>
    <t xml:space="preserve">Work Center</t>
  </si>
  <si>
    <t xml:space="preserve">Cost per Hour (EGP)</t>
  </si>
  <si>
    <t xml:space="preserve">Time Efficiency</t>
  </si>
  <si>
    <t xml:space="preserve">OEE Target</t>
  </si>
  <si>
    <t xml:space="preserve">ASM1</t>
  </si>
  <si>
    <t xml:space="preserve">Assembly Line 1</t>
  </si>
  <si>
    <t xml:space="preserve">ELEC</t>
  </si>
  <si>
    <t xml:space="preserve">Electronics &amp; PCB Station</t>
  </si>
  <si>
    <t xml:space="preserve">METAL</t>
  </si>
  <si>
    <t xml:space="preserve">Metal Fabrication &amp; Painting</t>
  </si>
  <si>
    <t xml:space="preserve">MOLD</t>
  </si>
  <si>
    <t xml:space="preserve">Rubber &amp; Plastic Molding</t>
  </si>
  <si>
    <t xml:space="preserve">QCPK</t>
  </si>
  <si>
    <t xml:space="preserve">Quality Control &amp; Packing</t>
  </si>
  <si>
    <t xml:space="preserve">BOM Operations (Routing)</t>
  </si>
  <si>
    <t xml:space="preserve">Work orders per BOM; minutes per unit.</t>
  </si>
  <si>
    <t xml:space="preserve">Sequence</t>
  </si>
  <si>
    <t xml:space="preserve">Operation</t>
  </si>
  <si>
    <t xml:space="preserve">Minutes per Unit</t>
  </si>
  <si>
    <t xml:space="preserve">Cost per Hour</t>
  </si>
  <si>
    <t xml:space="preserve">Cost per Unit</t>
  </si>
  <si>
    <t xml:space="preserve">SMT soldering &amp; assembly</t>
  </si>
  <si>
    <t xml:space="preserve">Functional test</t>
  </si>
  <si>
    <t xml:space="preserve">SMT soldering &amp; relay mounting</t>
  </si>
  <si>
    <t xml:space="preserve">Cutting, crimping &amp; harness assembly</t>
  </si>
  <si>
    <t xml:space="preserve">Continuity test</t>
  </si>
  <si>
    <t xml:space="preserve">Cutting, bending &amp; powder coating</t>
  </si>
  <si>
    <t xml:space="preserve">Inspection &amp; packing</t>
  </si>
  <si>
    <t xml:space="preserve">Rubber molding &amp; curing</t>
  </si>
  <si>
    <t xml:space="preserve">Wiring &amp; assembly</t>
  </si>
  <si>
    <t xml:space="preserve">Safety test &amp; packing</t>
  </si>
  <si>
    <t xml:space="preserve">Tube bending, fin pressing &amp; brazing</t>
  </si>
  <si>
    <t xml:space="preserve">Pressure test</t>
  </si>
  <si>
    <t xml:space="preserve">Cutting &amp; bending stainless steel</t>
  </si>
  <si>
    <t xml:space="preserve">Inspection</t>
  </si>
  <si>
    <t xml:space="preserve">Filter assembly</t>
  </si>
  <si>
    <t xml:space="preserve">Leak test &amp; packing</t>
  </si>
  <si>
    <t xml:space="preserve">Fan assembly</t>
  </si>
  <si>
    <t xml:space="preserve">Run test, QC &amp; packing</t>
  </si>
  <si>
    <t xml:space="preserve">Manufactured Cost Roll-up</t>
  </si>
  <si>
    <t xml:space="preserve">Total BOM cost must equal the product cost loaded in Odoo (difference = 0). Sub-assembly cost flows into the fan.</t>
  </si>
  <si>
    <t xml:space="preserve">Product Ref</t>
  </si>
  <si>
    <t xml:space="preserve">Components Cost</t>
  </si>
  <si>
    <t xml:space="preserve">Operations Cost</t>
  </si>
  <si>
    <t xml:space="preserve">Total BOM Cost</t>
  </si>
  <si>
    <t xml:space="preserve">Cost in Products</t>
  </si>
  <si>
    <t xml:space="preserve">Difference</t>
  </si>
  <si>
    <t xml:space="preserve">Example: LG Smart TV 50 Inch (BTK-COM-030), list price 19,200 EGP excl. VAT.</t>
  </si>
  <si>
    <t xml:space="preserve">Price List</t>
  </si>
  <si>
    <t xml:space="preserve">Rule</t>
  </si>
  <si>
    <t xml:space="preserve">Discount</t>
  </si>
  <si>
    <t xml:space="preserve">Min Qty</t>
  </si>
  <si>
    <t xml:space="preserve">Description</t>
  </si>
  <si>
    <t xml:space="preserve">Example List Price</t>
  </si>
  <si>
    <t xml:space="preserve">Example Net Price</t>
  </si>
  <si>
    <t xml:space="preserve">Retail - Showroom</t>
  </si>
  <si>
    <t xml:space="preserve">List price</t>
  </si>
  <si>
    <t xml:space="preserve">Public price (list price). Used by POS and walk-in customers.</t>
  </si>
  <si>
    <t xml:space="preserve">Wholesale - Retailers</t>
  </si>
  <si>
    <t xml:space="preserve">5% discount</t>
  </si>
  <si>
    <t xml:space="preserve">5% off list price; 7% off from 10 units per line.</t>
  </si>
  <si>
    <t xml:space="preserve">7% discount</t>
  </si>
  <si>
    <t xml:space="preserve">Distributors</t>
  </si>
  <si>
    <t xml:space="preserve">10% discount</t>
  </si>
  <si>
    <t xml:space="preserve">10% off list price; 12% off from 20 units per line.</t>
  </si>
  <si>
    <t xml:space="preserve">12% discount</t>
  </si>
  <si>
    <t xml:space="preserve">Key Accounts &amp; Corporate</t>
  </si>
  <si>
    <t xml:space="preserve">7% off list price on all products.</t>
  </si>
  <si>
    <t xml:space="preserve">Warehouses, Routes and Operations</t>
  </si>
  <si>
    <t xml:space="preserve">Branches are resupplied from Cairo (inter-warehouse route). Manufacturing happens only in Cairo.</t>
  </si>
  <si>
    <t xml:space="preserve">Warehouse</t>
  </si>
  <si>
    <t xml:space="preserve">Address</t>
  </si>
  <si>
    <t xml:space="preserve">Receipt Steps</t>
  </si>
  <si>
    <t xml:space="preserve">Delivery Steps</t>
  </si>
  <si>
    <t xml:space="preserve">Resupplied From</t>
  </si>
  <si>
    <t xml:space="preserve">Role</t>
  </si>
  <si>
    <t xml:space="preserve">Cairo Warehouse (Main)</t>
  </si>
  <si>
    <t xml:space="preserve">CAW</t>
  </si>
  <si>
    <t xml:space="preserve">El Obour Industrial Zone, Block 12, Cairo</t>
  </si>
  <si>
    <t xml:space="preserve">3 steps: Input &gt; Quality Control &gt; Stock</t>
  </si>
  <si>
    <t xml:space="preserve">3 steps: Pick &gt; Pack &gt; Ship</t>
  </si>
  <si>
    <t xml:space="preserve">Vendors (Buy)</t>
  </si>
  <si>
    <t xml:space="preserve">Showroom + production</t>
  </si>
  <si>
    <t xml:space="preserve">Alexandria Warehouse</t>
  </si>
  <si>
    <t xml:space="preserve">ALW</t>
  </si>
  <si>
    <t xml:space="preserve">Borg El Arab Industrial Zone, Alexandria</t>
  </si>
  <si>
    <t xml:space="preserve">1 step: directly to Stock</t>
  </si>
  <si>
    <t xml:space="preserve">2 steps: Pick &gt; Ship</t>
  </si>
  <si>
    <t xml:space="preserve">Regional distribution</t>
  </si>
  <si>
    <t xml:space="preserve">Mansoura Warehouse</t>
  </si>
  <si>
    <t xml:space="preserve">MAW</t>
  </si>
  <si>
    <t xml:space="preserve">Talkha Road, Mansoura</t>
  </si>
  <si>
    <t xml:space="preserve">Ismailia Warehouse</t>
  </si>
  <si>
    <t xml:space="preserve">ISW</t>
  </si>
  <si>
    <t xml:space="preserve">Ismailia Industrial Zone, Ismailia</t>
  </si>
  <si>
    <t xml:space="preserve">Asyut Warehouse</t>
  </si>
  <si>
    <t xml:space="preserve">ASW</t>
  </si>
  <si>
    <t xml:space="preserve">Arab El Awamer Industrial Zone, Asyut</t>
  </si>
  <si>
    <t xml:space="preserve">Inventory Locations</t>
  </si>
  <si>
    <t xml:space="preserve">Step locations are created by Odoo from the warehouse settings and are not imported.</t>
  </si>
  <si>
    <t xml:space="preserve">Location</t>
  </si>
  <si>
    <t xml:space="preserve">Origin</t>
  </si>
  <si>
    <t xml:space="preserve">Purpose</t>
  </si>
  <si>
    <t xml:space="preserve">CAW/Stock</t>
  </si>
  <si>
    <t xml:space="preserve">Internal</t>
  </si>
  <si>
    <t xml:space="preserve">Created by Odoo</t>
  </si>
  <si>
    <t xml:space="preserve">Main stock location</t>
  </si>
  <si>
    <t xml:space="preserve">CAW/Input</t>
  </si>
  <si>
    <t xml:space="preserve">Warehouse step location</t>
  </si>
  <si>
    <t xml:space="preserve">CAW/Quality Control</t>
  </si>
  <si>
    <t xml:space="preserve">CAW/Output</t>
  </si>
  <si>
    <t xml:space="preserve">CAW/Packing Zone</t>
  </si>
  <si>
    <t xml:space="preserve">CAW/Stock/First Floor - Large Appliances</t>
  </si>
  <si>
    <t xml:space="preserve">Imported (22_Locations)</t>
  </si>
  <si>
    <t xml:space="preserve">Large appliances storage</t>
  </si>
  <si>
    <t xml:space="preserve">CAW/Stock/Second Floor - Small Appliances</t>
  </si>
  <si>
    <t xml:space="preserve">Small appliances, TVs, fans storage</t>
  </si>
  <si>
    <t xml:space="preserve">CAW/Stock/Raw Materials Store</t>
  </si>
  <si>
    <t xml:space="preserve">Raw materials for production (new)</t>
  </si>
  <si>
    <t xml:space="preserve">CAW/Stock/Finished Goods - Manufactured</t>
  </si>
  <si>
    <t xml:space="preserve">Output of manufacturing orders (new)</t>
  </si>
  <si>
    <t xml:space="preserve">CAW/Stock/Showroom Display</t>
  </si>
  <si>
    <t xml:space="preserve">Cairo showroom stock sold through POS (new)</t>
  </si>
  <si>
    <t xml:space="preserve">ALW/Stock</t>
  </si>
  <si>
    <t xml:space="preserve">ALW/Output</t>
  </si>
  <si>
    <t xml:space="preserve">ALW/Stock/First Floor - Large Appliances</t>
  </si>
  <si>
    <t xml:space="preserve">ALW/Stock/Second Floor - Small Appliances</t>
  </si>
  <si>
    <t xml:space="preserve">MAW/Stock</t>
  </si>
  <si>
    <t xml:space="preserve">MAW/Output</t>
  </si>
  <si>
    <t xml:space="preserve">MAW/Stock/First Floor - Large Appliances</t>
  </si>
  <si>
    <t xml:space="preserve">MAW/Stock/Second Floor - Small Appliances</t>
  </si>
  <si>
    <t xml:space="preserve">ISW/Stock</t>
  </si>
  <si>
    <t xml:space="preserve">ISW/Output</t>
  </si>
  <si>
    <t xml:space="preserve">ISW/Stock/First Floor - Large Appliances</t>
  </si>
  <si>
    <t xml:space="preserve">ISW/Stock/Second Floor - Small Appliances</t>
  </si>
  <si>
    <t xml:space="preserve">ASW/Stock</t>
  </si>
  <si>
    <t xml:space="preserve">ASW/Output</t>
  </si>
  <si>
    <t xml:space="preserve">ASW/Stock/First Floor - Large Appliances</t>
  </si>
  <si>
    <t xml:space="preserve">ASW/Stock/Second Floor - Small Appliances</t>
  </si>
  <si>
    <t xml:space="preserve">Opening Stock by Product and Location</t>
  </si>
  <si>
    <t xml:space="preserve">Imported with 24_Opening_Stock.xlsx (serial-tracked products expand to one line per serial). Accounting date 2027-01-01.</t>
  </si>
  <si>
    <t xml:space="preserve">Inventory Acc.</t>
  </si>
  <si>
    <t xml:space="preserve">Qty</t>
  </si>
  <si>
    <t xml:space="preserve">Value</t>
  </si>
  <si>
    <t xml:space="preserve">Opening Stock by Warehouse</t>
  </si>
  <si>
    <t xml:space="preserve">SUMIFS from 'Stock by Location'. Column headers are the warehouse codes.</t>
  </si>
  <si>
    <t xml:space="preserve">Total Qty</t>
  </si>
  <si>
    <t xml:space="preserve">Inventory Valuation by Account</t>
  </si>
  <si>
    <t xml:space="preserve">Column D = figure used in the Opening Trial Balance (Organization_and_Accounting_Charts.xlsx). Difference must be 0.</t>
  </si>
  <si>
    <t xml:space="preserve">Account</t>
  </si>
  <si>
    <t xml:space="preserve">Inventory Account</t>
  </si>
  <si>
    <t xml:space="preserve">Value per Stock (formula)</t>
  </si>
  <si>
    <t xml:space="preserve">Value in Opening TB</t>
  </si>
  <si>
    <t xml:space="preserve">Inventory - Refrigerators &amp; Freezers</t>
  </si>
  <si>
    <t xml:space="preserve">Inventory - Washing Machines &amp; Dishwashers</t>
  </si>
  <si>
    <t xml:space="preserve">Inventory - Air Conditioners &amp; Fans</t>
  </si>
  <si>
    <t xml:space="preserve">Inventory - TVs &amp; Audio</t>
  </si>
  <si>
    <t xml:space="preserve">Inventory - Small Kitchen &amp; Home Appliances</t>
  </si>
  <si>
    <t xml:space="preserve">Inventory - Cookers &amp; Ovens</t>
  </si>
  <si>
    <t xml:space="preserve">Inventory - Manufactured Finished Goods</t>
  </si>
  <si>
    <t xml:space="preserve">Inventory - Raw Materials &amp; Components</t>
  </si>
  <si>
    <t xml:space="preserve">Reordering Rules (Min / Max)</t>
  </si>
  <si>
    <t xml:space="preserve">When forecast stock falls below Min, Odoo creates an RFQ (Buy) or a Manufacturing Order (Manufacture) up to Max.</t>
  </si>
  <si>
    <t xml:space="preserve">Max Qty</t>
  </si>
  <si>
    <t xml:space="preserve">Trigger</t>
  </si>
  <si>
    <t xml:space="preserve">Auto</t>
  </si>
  <si>
    <t xml:space="preserve">Serial Numbers (summary)</t>
  </si>
  <si>
    <t xml:space="preserve">1,546 serial numbers in 23_Serial_Numbers.xlsx - one per appliance unit, used for warranty and returns.</t>
  </si>
  <si>
    <t xml:space="preserve">Serials</t>
  </si>
  <si>
    <t xml:space="preserve">Range</t>
  </si>
  <si>
    <t xml:space="preserve">BTK-COM-001-0001 ... BTK-COM-001-0025</t>
  </si>
  <si>
    <t xml:space="preserve">BTK-COM-002-0001 ... BTK-COM-002-0018</t>
  </si>
  <si>
    <t xml:space="preserve">BTK-COM-003-0001 ... BTK-COM-003-0012</t>
  </si>
  <si>
    <t xml:space="preserve">BTK-COM-004-0001 ... BTK-COM-004-0030</t>
  </si>
  <si>
    <t xml:space="preserve">BTK-COM-005-0001 ... BTK-COM-005-0020</t>
  </si>
  <si>
    <t xml:space="preserve">BTK-COM-006-0001 ... BTK-COM-006-0035</t>
  </si>
  <si>
    <t xml:space="preserve">BTK-COM-007-0001 ... BTK-COM-007-0015</t>
  </si>
  <si>
    <t xml:space="preserve">BTK-COM-008-0001 ... BTK-COM-008-0022</t>
  </si>
  <si>
    <t xml:space="preserve">BTK-COM-009-0001 ... BTK-COM-009-0028</t>
  </si>
  <si>
    <t xml:space="preserve">BTK-COM-010-0001 ... BTK-COM-010-0024</t>
  </si>
  <si>
    <t xml:space="preserve">BTK-COM-011-0001 ... BTK-COM-011-0040</t>
  </si>
  <si>
    <t xml:space="preserve">BTK-COM-012-0001 ... BTK-COM-012-0032</t>
  </si>
  <si>
    <t xml:space="preserve">BTK-COM-013-0001 ... BTK-COM-013-0026</t>
  </si>
  <si>
    <t xml:space="preserve">BTK-COM-014-0001 ... BTK-COM-014-0019</t>
  </si>
  <si>
    <t xml:space="preserve">BTK-COM-015-0001 ... BTK-COM-015-0014</t>
  </si>
  <si>
    <t xml:space="preserve">BTK-COM-016-0001 ... BTK-COM-016-0017</t>
  </si>
  <si>
    <t xml:space="preserve">BTK-COM-017-0001 ... BTK-COM-017-0045</t>
  </si>
  <si>
    <t xml:space="preserve">BTK-COM-018-0001 ... BTK-COM-018-0050</t>
  </si>
  <si>
    <t xml:space="preserve">BTK-COM-019-0001 ... BTK-COM-019-0030</t>
  </si>
  <si>
    <t xml:space="preserve">BTK-COM-020-0001 ... BTK-COM-020-0016</t>
  </si>
  <si>
    <t xml:space="preserve">BTK-COM-021-0001 ... BTK-COM-021-0080</t>
  </si>
  <si>
    <t xml:space="preserve">BTK-COM-022-0001 ... BTK-COM-022-0100</t>
  </si>
  <si>
    <t xml:space="preserve">BTK-COM-023-0001 ... BTK-COM-023-0022</t>
  </si>
  <si>
    <t xml:space="preserve">BTK-COM-024-0001 ... BTK-COM-024-0010</t>
  </si>
  <si>
    <t xml:space="preserve">BTK-COM-025-0001 ... BTK-COM-025-0025</t>
  </si>
  <si>
    <t xml:space="preserve">BTK-COM-026-0001 ... BTK-COM-026-0040</t>
  </si>
  <si>
    <t xml:space="preserve">BTK-COM-027-0001 ... BTK-COM-027-0035</t>
  </si>
  <si>
    <t xml:space="preserve">BTK-COM-028-0001 ... BTK-COM-028-0050</t>
  </si>
  <si>
    <t xml:space="preserve">BTK-COM-029-0001 ... BTK-COM-029-0045</t>
  </si>
  <si>
    <t xml:space="preserve">BTK-COM-030-0001 ... BTK-COM-030-0038</t>
  </si>
  <si>
    <t xml:space="preserve">BTK-COM-031-0001 ... BTK-COM-031-0060</t>
  </si>
  <si>
    <t xml:space="preserve">BTK-COM-032-0001 ... BTK-COM-032-0075</t>
  </si>
  <si>
    <t xml:space="preserve">BTK-COM-033-0001 ... BTK-COM-033-0008</t>
  </si>
  <si>
    <t xml:space="preserve">BTK-COM-034-0001 ... BTK-COM-034-0030</t>
  </si>
  <si>
    <t xml:space="preserve">BTK-COM-035-0001 ... BTK-COM-035-0090</t>
  </si>
  <si>
    <t xml:space="preserve">BTK-COM-036-0001 ... BTK-COM-036-0050</t>
  </si>
  <si>
    <t xml:space="preserve">BTK-COM-037-0001 ... BTK-COM-037-0035</t>
  </si>
  <si>
    <t xml:space="preserve">BTK-COM-038-0001 ... BTK-COM-038-0110</t>
  </si>
  <si>
    <t xml:space="preserve">BTK-COM-039-0001 ... BTK-COM-039-0025</t>
  </si>
  <si>
    <t xml:space="preserve">BTK-COM-040-0001 ... BTK-COM-040-0040</t>
  </si>
  <si>
    <t xml:space="preserve">BTK-MFG-011-0001 ... BTK-MFG-011-0060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</si>
</sst>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;\(0.0%\);\-"/>
    <numFmt numFmtId="167" formatCode="#,##0;\(#,##0\);\-"/>
    <numFmt numFmtId="168" formatCode="0.000"/>
    <numFmt numFmtId="169" formatCode="0%"/>
    <numFmt numFmtId="170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8EE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0"/>
      <rgbColor rgb="FF660066"/>
      <rgbColor rgb="FFFF8080"/>
      <rgbColor rgb="FF0066CC"/>
      <rgbColor rgb="FFD0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oducts_and_Inventory_Data.xlsx" TargetMode="External"/><Relationship Id="rId2" Type="http://schemas.openxmlformats.org/officeDocument/2006/relationships/hyperlink" Target="Products_and_Inventory_Data.xlsx" TargetMode="External"/><Relationship Id="rId3" Type="http://schemas.openxmlformats.org/officeDocument/2006/relationships/hyperlink" Target="Products_and_Inventory_Data.xlsx" TargetMode="External"/><Relationship Id="rId4" Type="http://schemas.openxmlformats.org/officeDocument/2006/relationships/hyperlink" Target="Products_and_Inventory_Data.xlsx" TargetMode="External"/><Relationship Id="rId5" Type="http://schemas.openxmlformats.org/officeDocument/2006/relationships/hyperlink" Target="Products_and_Inventory_Data.xlsx" TargetMode="External"/><Relationship Id="rId6" Type="http://schemas.openxmlformats.org/officeDocument/2006/relationships/hyperlink" Target="Products_and_Inventory_Data.xlsx" TargetMode="External"/><Relationship Id="rId7" Type="http://schemas.openxmlformats.org/officeDocument/2006/relationships/hyperlink" Target="Products_and_Inventory_Data.xlsx" TargetMode="External"/><Relationship Id="rId8" Type="http://schemas.openxmlformats.org/officeDocument/2006/relationships/hyperlink" Target="Products_and_Inventory_Data.xlsx" TargetMode="External"/><Relationship Id="rId9" Type="http://schemas.openxmlformats.org/officeDocument/2006/relationships/hyperlink" Target="Products_and_Inventory_Data.xlsx" TargetMode="External"/><Relationship Id="rId10" Type="http://schemas.openxmlformats.org/officeDocument/2006/relationships/hyperlink" Target="Products_and_Inventory_Data.xlsx" TargetMode="External"/><Relationship Id="rId11" Type="http://schemas.openxmlformats.org/officeDocument/2006/relationships/hyperlink" Target="Products_and_Inventory_Data.xlsx" TargetMode="External"/><Relationship Id="rId12" Type="http://schemas.openxmlformats.org/officeDocument/2006/relationships/hyperlink" Target="Products_and_Inventory_Data.xlsx" TargetMode="External"/><Relationship Id="rId13" Type="http://schemas.openxmlformats.org/officeDocument/2006/relationships/hyperlink" Target="Products_and_Inventory_Data.xlsx" TargetMode="External"/><Relationship Id="rId14" Type="http://schemas.openxmlformats.org/officeDocument/2006/relationships/hyperlink" Target="Products_and_Inventory_Data.xlsx" TargetMode="External"/><Relationship Id="rId15" Type="http://schemas.openxmlformats.org/officeDocument/2006/relationships/hyperlink" Target="Products_and_Inventory_Data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  <col collapsed="false" customWidth="true" hidden="false" outlineLevel="0" max="3" min="3" style="0" width="4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16</v>
      </c>
    </row>
    <row r="10" customFormat="false" ht="15" hidden="false" customHeight="false" outlineLevel="0" collapsed="false">
      <c r="A10" s="4" t="s">
        <v>19</v>
      </c>
      <c r="B10" s="5" t="s">
        <v>20</v>
      </c>
      <c r="C10" s="5" t="s">
        <v>16</v>
      </c>
    </row>
    <row r="11" customFormat="false" ht="15" hidden="false" customHeight="false" outlineLevel="0" collapsed="false">
      <c r="A11" s="4" t="s">
        <v>21</v>
      </c>
      <c r="B11" s="5" t="s">
        <v>22</v>
      </c>
      <c r="C11" s="5" t="s">
        <v>23</v>
      </c>
    </row>
    <row r="12" customFormat="false" ht="15" hidden="false" customHeight="false" outlineLevel="0" collapsed="false">
      <c r="A12" s="4" t="s">
        <v>24</v>
      </c>
      <c r="B12" s="5" t="s">
        <v>25</v>
      </c>
      <c r="C12" s="5" t="s">
        <v>26</v>
      </c>
    </row>
    <row r="13" customFormat="false" ht="15" hidden="false" customHeight="false" outlineLevel="0" collapsed="false">
      <c r="A13" s="4" t="s">
        <v>27</v>
      </c>
      <c r="B13" s="5" t="s">
        <v>28</v>
      </c>
      <c r="C13" s="5" t="s">
        <v>29</v>
      </c>
    </row>
    <row r="14" customFormat="false" ht="15" hidden="false" customHeight="false" outlineLevel="0" collapsed="false">
      <c r="A14" s="4" t="s">
        <v>30</v>
      </c>
      <c r="B14" s="5" t="s">
        <v>31</v>
      </c>
      <c r="C14" s="5" t="s">
        <v>32</v>
      </c>
    </row>
    <row r="15" customFormat="false" ht="15" hidden="false" customHeight="false" outlineLevel="0" collapsed="false">
      <c r="A15" s="4" t="s">
        <v>33</v>
      </c>
      <c r="B15" s="5" t="s">
        <v>34</v>
      </c>
      <c r="C15" s="5" t="s">
        <v>35</v>
      </c>
    </row>
    <row r="16" customFormat="false" ht="15" hidden="false" customHeight="false" outlineLevel="0" collapsed="false">
      <c r="A16" s="4" t="s">
        <v>36</v>
      </c>
      <c r="B16" s="5" t="s">
        <v>37</v>
      </c>
      <c r="C16" s="5" t="s">
        <v>38</v>
      </c>
    </row>
    <row r="17" customFormat="false" ht="15" hidden="false" customHeight="false" outlineLevel="0" collapsed="false">
      <c r="A17" s="4" t="s">
        <v>39</v>
      </c>
      <c r="B17" s="5" t="s">
        <v>40</v>
      </c>
      <c r="C17" s="5" t="s">
        <v>41</v>
      </c>
    </row>
    <row r="18" customFormat="false" ht="15" hidden="false" customHeight="false" outlineLevel="0" collapsed="false">
      <c r="A18" s="4" t="s">
        <v>42</v>
      </c>
      <c r="B18" s="5" t="s">
        <v>43</v>
      </c>
      <c r="C18" s="5" t="s">
        <v>44</v>
      </c>
    </row>
    <row r="19" customFormat="false" ht="15" hidden="false" customHeight="false" outlineLevel="0" collapsed="false">
      <c r="A19" s="4" t="s">
        <v>45</v>
      </c>
      <c r="B19" s="5" t="s">
        <v>46</v>
      </c>
      <c r="C19" s="5" t="s">
        <v>47</v>
      </c>
    </row>
    <row r="21" customFormat="false" ht="15" hidden="false" customHeight="false" outlineLevel="0" collapsed="false">
      <c r="A21" s="6" t="s">
        <v>48</v>
      </c>
    </row>
    <row r="22" customFormat="false" ht="23.85" hidden="false" customHeight="false" outlineLevel="0" collapsed="false">
      <c r="A22" s="5" t="s">
        <v>49</v>
      </c>
      <c r="B22" s="7" t="s">
        <v>50</v>
      </c>
    </row>
    <row r="23" customFormat="false" ht="23.85" hidden="false" customHeight="false" outlineLevel="0" collapsed="false">
      <c r="A23" s="5" t="s">
        <v>51</v>
      </c>
      <c r="B23" s="7" t="s">
        <v>52</v>
      </c>
    </row>
    <row r="24" customFormat="false" ht="15" hidden="false" customHeight="false" outlineLevel="0" collapsed="false">
      <c r="A24" s="5" t="s">
        <v>53</v>
      </c>
      <c r="B24" s="7" t="s">
        <v>54</v>
      </c>
    </row>
    <row r="25" customFormat="false" ht="15" hidden="false" customHeight="false" outlineLevel="0" collapsed="false">
      <c r="A25" s="5" t="s">
        <v>55</v>
      </c>
      <c r="B25" s="7" t="s">
        <v>56</v>
      </c>
    </row>
    <row r="26" customFormat="false" ht="15" hidden="false" customHeight="false" outlineLevel="0" collapsed="false">
      <c r="A26" s="5" t="s">
        <v>57</v>
      </c>
      <c r="B26" s="7" t="s">
        <v>58</v>
      </c>
    </row>
    <row r="27" customFormat="false" ht="15" hidden="false" customHeight="false" outlineLevel="0" collapsed="false">
      <c r="A27" s="5" t="s">
        <v>59</v>
      </c>
      <c r="B27" s="7" t="s">
        <v>60</v>
      </c>
    </row>
    <row r="28" customFormat="false" ht="23.85" hidden="false" customHeight="false" outlineLevel="0" collapsed="false">
      <c r="A28" s="5" t="s">
        <v>61</v>
      </c>
      <c r="B28" s="7" t="s">
        <v>62</v>
      </c>
    </row>
    <row r="29" customFormat="false" ht="23.85" hidden="false" customHeight="false" outlineLevel="0" collapsed="false">
      <c r="A29" s="5" t="s">
        <v>63</v>
      </c>
      <c r="B29" s="7" t="s">
        <v>64</v>
      </c>
    </row>
    <row r="30" customFormat="false" ht="15" hidden="false" customHeight="false" outlineLevel="0" collapsed="false">
      <c r="A30" s="5" t="s">
        <v>65</v>
      </c>
      <c r="B30" s="7" t="s">
        <v>66</v>
      </c>
    </row>
  </sheetData>
  <hyperlinks>
    <hyperlink ref="A5" r:id="rId1" location="'Units%20of%20Measure'!A1" display="Units of Measure"/>
    <hyperlink ref="A6" r:id="rId2" location="'Product%20Categories'!A1" display="Product Categories"/>
    <hyperlink ref="A7" r:id="rId3" location="'Products'!A1" display="Products"/>
    <hyperlink ref="A8" r:id="rId4" location="'Bills%20of%20Materials'!A1" display="Bills of Materials"/>
    <hyperlink ref="A9" r:id="rId5" location="'Work%20Centers'!A1" display="Work Centers"/>
    <hyperlink ref="A10" r:id="rId6" location="'Operations'!A1" display="Operations"/>
    <hyperlink ref="A11" r:id="rId7" location="'BOM%20Cost%20Summary'!A1" display="BOM Cost Summary"/>
    <hyperlink ref="A12" r:id="rId8" location="'Price%20Lists'!A1" display="Price Lists"/>
    <hyperlink ref="A13" r:id="rId9" location="'Warehouses'!A1" display="Warehouses"/>
    <hyperlink ref="A14" r:id="rId10" location="'Locations'!A1" display="Locations"/>
    <hyperlink ref="A15" r:id="rId11" location="'Stock%20by%20Location'!A1" display="Stock by Location"/>
    <hyperlink ref="A16" r:id="rId12" location="'Stock%20by%20Warehouse'!A1" display="Stock by Warehouse"/>
    <hyperlink ref="A17" r:id="rId13" location="'Inventory%20Valuation'!A1" display="Inventory Valuation"/>
    <hyperlink ref="A18" r:id="rId14" location="'Reordering%20Rules'!A1" display="Reordering Rules"/>
    <hyperlink ref="A19" r:id="rId15" location="'Serial%20Numbers'!A1" display="Serial Number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55"/>
  </cols>
  <sheetData>
    <row r="1" customFormat="false" ht="16.15" hidden="false" customHeight="false" outlineLevel="0" collapsed="false">
      <c r="A1" s="8" t="s">
        <v>5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A4" s="9" t="s">
        <v>68</v>
      </c>
      <c r="B4" s="9" t="s">
        <v>69</v>
      </c>
      <c r="C4" s="9" t="s">
        <v>70</v>
      </c>
    </row>
    <row r="5" customFormat="false" ht="15" hidden="false" customHeight="false" outlineLevel="0" collapsed="false">
      <c r="A5" s="10" t="s">
        <v>71</v>
      </c>
      <c r="B5" s="10" t="s">
        <v>68</v>
      </c>
      <c r="C5" s="10" t="s">
        <v>72</v>
      </c>
    </row>
    <row r="6" customFormat="false" ht="23.85" hidden="false" customHeight="false" outlineLevel="0" collapsed="false">
      <c r="A6" s="10" t="s">
        <v>73</v>
      </c>
      <c r="B6" s="10" t="s">
        <v>74</v>
      </c>
      <c r="C6" s="11" t="s">
        <v>75</v>
      </c>
    </row>
    <row r="7" customFormat="false" ht="15" hidden="false" customHeight="false" outlineLevel="0" collapsed="false">
      <c r="A7" s="10" t="s">
        <v>76</v>
      </c>
      <c r="B7" s="10" t="s">
        <v>77</v>
      </c>
      <c r="C7" s="1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9"/>
    <col collapsed="false" customWidth="true" hidden="false" outlineLevel="0" max="8" min="8" style="0" width="23"/>
    <col collapsed="false" customWidth="true" hidden="false" outlineLevel="0" max="9" min="9" style="0" width="13"/>
    <col collapsed="false" customWidth="true" hidden="false" outlineLevel="0" max="10" min="10" style="0" width="21"/>
    <col collapsed="false" customWidth="true" hidden="false" outlineLevel="0" max="11" min="11" style="0" width="30"/>
  </cols>
  <sheetData>
    <row r="1" customFormat="false" ht="16.15" hidden="false" customHeight="false" outlineLevel="0" collapsed="false">
      <c r="A1" s="8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9" t="s">
        <v>69</v>
      </c>
      <c r="B4" s="9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89</v>
      </c>
      <c r="K4" s="9" t="s">
        <v>90</v>
      </c>
    </row>
    <row r="5" customFormat="false" ht="15" hidden="false" customHeight="false" outlineLevel="0" collapsed="false">
      <c r="A5" s="10" t="s">
        <v>91</v>
      </c>
      <c r="B5" s="10" t="s">
        <v>92</v>
      </c>
      <c r="C5" s="10" t="s">
        <v>93</v>
      </c>
      <c r="D5" s="10" t="s">
        <v>94</v>
      </c>
      <c r="E5" s="10" t="s">
        <v>95</v>
      </c>
      <c r="F5" s="10" t="s">
        <v>96</v>
      </c>
      <c r="G5" s="10" t="s">
        <v>97</v>
      </c>
      <c r="H5" s="10" t="s">
        <v>98</v>
      </c>
      <c r="I5" s="10" t="s">
        <v>99</v>
      </c>
      <c r="J5" s="10" t="s">
        <v>100</v>
      </c>
      <c r="K5" s="10" t="s">
        <v>101</v>
      </c>
    </row>
    <row r="6" customFormat="false" ht="15" hidden="false" customHeight="false" outlineLevel="0" collapsed="false">
      <c r="A6" s="10" t="s">
        <v>102</v>
      </c>
      <c r="B6" s="10" t="s">
        <v>92</v>
      </c>
      <c r="C6" s="10" t="s">
        <v>93</v>
      </c>
      <c r="D6" s="10" t="s">
        <v>94</v>
      </c>
      <c r="E6" s="10" t="s">
        <v>103</v>
      </c>
      <c r="F6" s="10" t="s">
        <v>96</v>
      </c>
      <c r="G6" s="10" t="s">
        <v>97</v>
      </c>
      <c r="H6" s="10" t="s">
        <v>98</v>
      </c>
      <c r="I6" s="10" t="s">
        <v>99</v>
      </c>
      <c r="J6" s="10" t="s">
        <v>100</v>
      </c>
      <c r="K6" s="10" t="s">
        <v>102</v>
      </c>
    </row>
    <row r="7" customFormat="false" ht="15" hidden="false" customHeight="false" outlineLevel="0" collapsed="false">
      <c r="A7" s="10" t="s">
        <v>104</v>
      </c>
      <c r="B7" s="10" t="s">
        <v>92</v>
      </c>
      <c r="C7" s="10" t="s">
        <v>93</v>
      </c>
      <c r="D7" s="10" t="s">
        <v>94</v>
      </c>
      <c r="E7" s="10" t="s">
        <v>105</v>
      </c>
      <c r="F7" s="10" t="s">
        <v>96</v>
      </c>
      <c r="G7" s="10" t="s">
        <v>97</v>
      </c>
      <c r="H7" s="10" t="s">
        <v>98</v>
      </c>
      <c r="I7" s="10" t="s">
        <v>99</v>
      </c>
      <c r="J7" s="10" t="s">
        <v>100</v>
      </c>
      <c r="K7" s="10" t="s">
        <v>106</v>
      </c>
    </row>
    <row r="8" customFormat="false" ht="15" hidden="false" customHeight="false" outlineLevel="0" collapsed="false">
      <c r="A8" s="10" t="s">
        <v>107</v>
      </c>
      <c r="B8" s="10" t="s">
        <v>92</v>
      </c>
      <c r="C8" s="10" t="s">
        <v>93</v>
      </c>
      <c r="D8" s="10" t="s">
        <v>94</v>
      </c>
      <c r="E8" s="10" t="s">
        <v>108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109</v>
      </c>
    </row>
    <row r="9" customFormat="false" ht="15" hidden="false" customHeight="false" outlineLevel="0" collapsed="false">
      <c r="A9" s="10" t="s">
        <v>110</v>
      </c>
      <c r="B9" s="10" t="s">
        <v>92</v>
      </c>
      <c r="C9" s="10" t="s">
        <v>93</v>
      </c>
      <c r="D9" s="10" t="s">
        <v>94</v>
      </c>
      <c r="E9" s="10" t="s">
        <v>111</v>
      </c>
      <c r="F9" s="10" t="s">
        <v>96</v>
      </c>
      <c r="G9" s="10" t="s">
        <v>97</v>
      </c>
      <c r="H9" s="10" t="s">
        <v>98</v>
      </c>
      <c r="I9" s="10" t="s">
        <v>112</v>
      </c>
      <c r="J9" s="10" t="s">
        <v>113</v>
      </c>
      <c r="K9" s="10" t="s">
        <v>110</v>
      </c>
    </row>
    <row r="10" customFormat="false" ht="15" hidden="false" customHeight="false" outlineLevel="0" collapsed="false">
      <c r="A10" s="10" t="s">
        <v>114</v>
      </c>
      <c r="B10" s="10" t="s">
        <v>92</v>
      </c>
      <c r="C10" s="10" t="s">
        <v>93</v>
      </c>
      <c r="D10" s="10" t="s">
        <v>94</v>
      </c>
      <c r="E10" s="10" t="s">
        <v>115</v>
      </c>
      <c r="F10" s="10" t="s">
        <v>96</v>
      </c>
      <c r="G10" s="10" t="s">
        <v>97</v>
      </c>
      <c r="H10" s="10" t="s">
        <v>98</v>
      </c>
      <c r="I10" s="10" t="s">
        <v>116</v>
      </c>
      <c r="J10" s="10" t="s">
        <v>117</v>
      </c>
      <c r="K10" s="10" t="s">
        <v>92</v>
      </c>
    </row>
    <row r="11" customFormat="false" ht="15" hidden="false" customHeight="false" outlineLevel="0" collapsed="false">
      <c r="A11" s="10" t="s">
        <v>118</v>
      </c>
      <c r="B11" s="10" t="s">
        <v>114</v>
      </c>
      <c r="C11" s="10" t="s">
        <v>93</v>
      </c>
      <c r="D11" s="10" t="s">
        <v>94</v>
      </c>
      <c r="E11" s="10" t="s">
        <v>115</v>
      </c>
      <c r="F11" s="10" t="s">
        <v>96</v>
      </c>
      <c r="G11" s="10" t="s">
        <v>97</v>
      </c>
      <c r="H11" s="10" t="s">
        <v>98</v>
      </c>
      <c r="I11" s="10" t="s">
        <v>116</v>
      </c>
      <c r="J11" s="10" t="s">
        <v>117</v>
      </c>
      <c r="K11" s="10" t="s">
        <v>119</v>
      </c>
    </row>
    <row r="12" customFormat="false" ht="15" hidden="false" customHeight="false" outlineLevel="0" collapsed="false">
      <c r="A12" s="10" t="s">
        <v>120</v>
      </c>
      <c r="B12" s="10" t="s">
        <v>92</v>
      </c>
      <c r="C12" s="10" t="s">
        <v>93</v>
      </c>
      <c r="D12" s="10" t="s">
        <v>94</v>
      </c>
      <c r="E12" s="10" t="s">
        <v>121</v>
      </c>
      <c r="F12" s="10" t="s">
        <v>96</v>
      </c>
      <c r="G12" s="10" t="s">
        <v>97</v>
      </c>
      <c r="H12" s="10" t="s">
        <v>98</v>
      </c>
      <c r="I12" s="10" t="s">
        <v>122</v>
      </c>
      <c r="J12" s="10" t="s">
        <v>123</v>
      </c>
      <c r="K12" s="10" t="s">
        <v>92</v>
      </c>
    </row>
    <row r="13" customFormat="false" ht="15" hidden="false" customHeight="false" outlineLevel="0" collapsed="false">
      <c r="A13" s="10" t="s">
        <v>124</v>
      </c>
      <c r="B13" s="10" t="s">
        <v>120</v>
      </c>
      <c r="C13" s="10" t="s">
        <v>93</v>
      </c>
      <c r="D13" s="10" t="s">
        <v>94</v>
      </c>
      <c r="E13" s="10" t="s">
        <v>121</v>
      </c>
      <c r="F13" s="10" t="s">
        <v>96</v>
      </c>
      <c r="G13" s="10" t="s">
        <v>97</v>
      </c>
      <c r="H13" s="10" t="s">
        <v>98</v>
      </c>
      <c r="I13" s="10" t="s">
        <v>122</v>
      </c>
      <c r="J13" s="10" t="s">
        <v>123</v>
      </c>
      <c r="K13" s="10" t="s">
        <v>124</v>
      </c>
    </row>
    <row r="14" customFormat="false" ht="15" hidden="false" customHeight="false" outlineLevel="0" collapsed="false">
      <c r="A14" s="10" t="s">
        <v>125</v>
      </c>
      <c r="B14" s="10" t="s">
        <v>120</v>
      </c>
      <c r="C14" s="10" t="s">
        <v>93</v>
      </c>
      <c r="D14" s="10" t="s">
        <v>94</v>
      </c>
      <c r="E14" s="10" t="s">
        <v>121</v>
      </c>
      <c r="F14" s="10" t="s">
        <v>96</v>
      </c>
      <c r="G14" s="10" t="s">
        <v>97</v>
      </c>
      <c r="H14" s="10" t="s">
        <v>98</v>
      </c>
      <c r="I14" s="10" t="s">
        <v>122</v>
      </c>
      <c r="J14" s="10" t="s">
        <v>123</v>
      </c>
      <c r="K14" s="10" t="s">
        <v>125</v>
      </c>
    </row>
    <row r="15" customFormat="false" ht="15" hidden="false" customHeight="false" outlineLevel="0" collapsed="false">
      <c r="A15" s="10" t="s">
        <v>126</v>
      </c>
      <c r="B15" s="10" t="s">
        <v>120</v>
      </c>
      <c r="C15" s="10" t="s">
        <v>93</v>
      </c>
      <c r="D15" s="10" t="s">
        <v>94</v>
      </c>
      <c r="E15" s="10" t="s">
        <v>121</v>
      </c>
      <c r="F15" s="10" t="s">
        <v>96</v>
      </c>
      <c r="G15" s="10" t="s">
        <v>97</v>
      </c>
      <c r="H15" s="10" t="s">
        <v>98</v>
      </c>
      <c r="I15" s="10" t="s">
        <v>122</v>
      </c>
      <c r="J15" s="10" t="s">
        <v>123</v>
      </c>
      <c r="K15" s="10" t="s">
        <v>126</v>
      </c>
    </row>
    <row r="16" customFormat="false" ht="15" hidden="false" customHeight="false" outlineLevel="0" collapsed="false">
      <c r="A16" s="10" t="s">
        <v>127</v>
      </c>
      <c r="B16" s="10" t="s">
        <v>120</v>
      </c>
      <c r="C16" s="10" t="s">
        <v>93</v>
      </c>
      <c r="D16" s="10" t="s">
        <v>94</v>
      </c>
      <c r="E16" s="10" t="s">
        <v>121</v>
      </c>
      <c r="F16" s="10" t="s">
        <v>96</v>
      </c>
      <c r="G16" s="10" t="s">
        <v>97</v>
      </c>
      <c r="H16" s="10" t="s">
        <v>98</v>
      </c>
      <c r="I16" s="10" t="s">
        <v>122</v>
      </c>
      <c r="J16" s="10" t="s">
        <v>123</v>
      </c>
      <c r="K16" s="10" t="s">
        <v>127</v>
      </c>
    </row>
    <row r="17" customFormat="false" ht="15" hidden="false" customHeight="false" outlineLevel="0" collapsed="false">
      <c r="A17" s="10" t="s">
        <v>128</v>
      </c>
      <c r="B17" s="10" t="s">
        <v>120</v>
      </c>
      <c r="C17" s="10" t="s">
        <v>93</v>
      </c>
      <c r="D17" s="10" t="s">
        <v>94</v>
      </c>
      <c r="E17" s="10" t="s">
        <v>121</v>
      </c>
      <c r="F17" s="10" t="s">
        <v>96</v>
      </c>
      <c r="G17" s="10" t="s">
        <v>97</v>
      </c>
      <c r="H17" s="10" t="s">
        <v>98</v>
      </c>
      <c r="I17" s="10" t="s">
        <v>122</v>
      </c>
      <c r="J17" s="10" t="s">
        <v>123</v>
      </c>
      <c r="K17" s="10" t="s">
        <v>128</v>
      </c>
    </row>
    <row r="18" customFormat="false" ht="15" hidden="false" customHeight="false" outlineLevel="0" collapsed="false">
      <c r="A18" s="10" t="s">
        <v>129</v>
      </c>
      <c r="B18" s="10" t="s">
        <v>120</v>
      </c>
      <c r="C18" s="10" t="s">
        <v>93</v>
      </c>
      <c r="D18" s="10" t="s">
        <v>94</v>
      </c>
      <c r="E18" s="10" t="s">
        <v>121</v>
      </c>
      <c r="F18" s="10" t="s">
        <v>96</v>
      </c>
      <c r="G18" s="10" t="s">
        <v>97</v>
      </c>
      <c r="H18" s="10" t="s">
        <v>98</v>
      </c>
      <c r="I18" s="10" t="s">
        <v>122</v>
      </c>
      <c r="J18" s="10" t="s">
        <v>123</v>
      </c>
      <c r="K18" s="10" t="s">
        <v>129</v>
      </c>
    </row>
    <row r="19" customFormat="false" ht="15" hidden="false" customHeight="false" outlineLevel="0" collapsed="false">
      <c r="A19" s="10" t="s">
        <v>130</v>
      </c>
      <c r="B19" s="10" t="s">
        <v>120</v>
      </c>
      <c r="C19" s="10" t="s">
        <v>93</v>
      </c>
      <c r="D19" s="10" t="s">
        <v>94</v>
      </c>
      <c r="E19" s="10" t="s">
        <v>121</v>
      </c>
      <c r="F19" s="10" t="s">
        <v>96</v>
      </c>
      <c r="G19" s="10" t="s">
        <v>97</v>
      </c>
      <c r="H19" s="10" t="s">
        <v>98</v>
      </c>
      <c r="I19" s="10" t="s">
        <v>122</v>
      </c>
      <c r="J19" s="10" t="s">
        <v>123</v>
      </c>
      <c r="K19" s="10" t="s">
        <v>131</v>
      </c>
    </row>
    <row r="20" customFormat="false" ht="15" hidden="false" customHeight="false" outlineLevel="0" collapsed="false">
      <c r="A20" s="10" t="s">
        <v>132</v>
      </c>
      <c r="B20" s="10" t="s">
        <v>92</v>
      </c>
      <c r="C20" s="10" t="s">
        <v>93</v>
      </c>
      <c r="D20" s="10" t="s">
        <v>94</v>
      </c>
      <c r="E20" s="10" t="s">
        <v>133</v>
      </c>
      <c r="F20" s="10" t="s">
        <v>96</v>
      </c>
      <c r="G20" s="10" t="s">
        <v>97</v>
      </c>
      <c r="H20" s="10" t="s">
        <v>98</v>
      </c>
      <c r="I20" s="10" t="s">
        <v>122</v>
      </c>
      <c r="J20" s="10" t="s">
        <v>123</v>
      </c>
      <c r="K20" s="10" t="s">
        <v>131</v>
      </c>
    </row>
    <row r="21" customFormat="false" ht="15" hidden="false" customHeight="false" outlineLevel="0" collapsed="false">
      <c r="A21" s="10" t="s">
        <v>134</v>
      </c>
      <c r="B21" s="10" t="s">
        <v>132</v>
      </c>
      <c r="C21" s="10" t="s">
        <v>93</v>
      </c>
      <c r="D21" s="10" t="s">
        <v>94</v>
      </c>
      <c r="E21" s="10" t="s">
        <v>133</v>
      </c>
      <c r="F21" s="10" t="s">
        <v>96</v>
      </c>
      <c r="G21" s="10" t="s">
        <v>97</v>
      </c>
      <c r="H21" s="10" t="s">
        <v>98</v>
      </c>
      <c r="I21" s="10" t="s">
        <v>122</v>
      </c>
      <c r="J21" s="10" t="s">
        <v>123</v>
      </c>
      <c r="K21" s="10" t="s">
        <v>131</v>
      </c>
    </row>
    <row r="22" customFormat="false" ht="15" hidden="false" customHeight="false" outlineLevel="0" collapsed="false">
      <c r="A22" s="10" t="s">
        <v>135</v>
      </c>
      <c r="B22" s="10" t="s">
        <v>132</v>
      </c>
      <c r="C22" s="10" t="s">
        <v>93</v>
      </c>
      <c r="D22" s="10" t="s">
        <v>94</v>
      </c>
      <c r="E22" s="10" t="s">
        <v>133</v>
      </c>
      <c r="F22" s="10" t="s">
        <v>96</v>
      </c>
      <c r="G22" s="10" t="s">
        <v>97</v>
      </c>
      <c r="H22" s="10" t="s">
        <v>98</v>
      </c>
      <c r="I22" s="10" t="s">
        <v>122</v>
      </c>
      <c r="J22" s="10" t="s">
        <v>123</v>
      </c>
      <c r="K22" s="10" t="s">
        <v>131</v>
      </c>
    </row>
    <row r="23" customFormat="false" ht="15" hidden="false" customHeight="false" outlineLevel="0" collapsed="false">
      <c r="A23" s="10" t="s">
        <v>136</v>
      </c>
      <c r="B23" s="10" t="s">
        <v>132</v>
      </c>
      <c r="C23" s="10" t="s">
        <v>93</v>
      </c>
      <c r="D23" s="10" t="s">
        <v>94</v>
      </c>
      <c r="E23" s="10" t="s">
        <v>133</v>
      </c>
      <c r="F23" s="10" t="s">
        <v>96</v>
      </c>
      <c r="G23" s="10" t="s">
        <v>97</v>
      </c>
      <c r="H23" s="10" t="s">
        <v>98</v>
      </c>
      <c r="I23" s="10" t="s">
        <v>122</v>
      </c>
      <c r="J23" s="10" t="s">
        <v>123</v>
      </c>
      <c r="K23" s="10" t="s">
        <v>131</v>
      </c>
    </row>
    <row r="24" customFormat="false" ht="15" hidden="false" customHeight="false" outlineLevel="0" collapsed="false">
      <c r="A24" s="10" t="s">
        <v>137</v>
      </c>
      <c r="B24" s="10" t="s">
        <v>132</v>
      </c>
      <c r="C24" s="10" t="s">
        <v>93</v>
      </c>
      <c r="D24" s="10" t="s">
        <v>94</v>
      </c>
      <c r="E24" s="10" t="s">
        <v>133</v>
      </c>
      <c r="F24" s="10" t="s">
        <v>96</v>
      </c>
      <c r="G24" s="10" t="s">
        <v>97</v>
      </c>
      <c r="H24" s="10" t="s">
        <v>98</v>
      </c>
      <c r="I24" s="10" t="s">
        <v>122</v>
      </c>
      <c r="J24" s="10" t="s">
        <v>123</v>
      </c>
      <c r="K24" s="10" t="s">
        <v>131</v>
      </c>
    </row>
    <row r="25" customFormat="false" ht="15" hidden="false" customHeight="false" outlineLevel="0" collapsed="false">
      <c r="A25" s="10" t="s">
        <v>138</v>
      </c>
      <c r="B25" s="10" t="s">
        <v>132</v>
      </c>
      <c r="C25" s="10" t="s">
        <v>93</v>
      </c>
      <c r="D25" s="10" t="s">
        <v>94</v>
      </c>
      <c r="E25" s="10" t="s">
        <v>133</v>
      </c>
      <c r="F25" s="10" t="s">
        <v>96</v>
      </c>
      <c r="G25" s="10" t="s">
        <v>97</v>
      </c>
      <c r="H25" s="10" t="s">
        <v>98</v>
      </c>
      <c r="I25" s="10" t="s">
        <v>122</v>
      </c>
      <c r="J25" s="10" t="s">
        <v>123</v>
      </c>
      <c r="K25" s="10" t="s">
        <v>131</v>
      </c>
    </row>
    <row r="26" customFormat="false" ht="15" hidden="false" customHeight="false" outlineLevel="0" collapsed="false">
      <c r="A26" s="10" t="s">
        <v>139</v>
      </c>
      <c r="B26" s="10" t="s">
        <v>132</v>
      </c>
      <c r="C26" s="10" t="s">
        <v>93</v>
      </c>
      <c r="D26" s="10" t="s">
        <v>94</v>
      </c>
      <c r="E26" s="10" t="s">
        <v>133</v>
      </c>
      <c r="F26" s="10" t="s">
        <v>96</v>
      </c>
      <c r="G26" s="10" t="s">
        <v>97</v>
      </c>
      <c r="H26" s="10" t="s">
        <v>98</v>
      </c>
      <c r="I26" s="10" t="s">
        <v>122</v>
      </c>
      <c r="J26" s="10" t="s">
        <v>123</v>
      </c>
      <c r="K26" s="10" t="s">
        <v>131</v>
      </c>
    </row>
    <row r="27" customFormat="false" ht="15" hidden="false" customHeight="false" outlineLevel="0" collapsed="false">
      <c r="A27" s="10" t="s">
        <v>140</v>
      </c>
      <c r="B27" s="10" t="s">
        <v>92</v>
      </c>
      <c r="C27" s="10" t="s">
        <v>141</v>
      </c>
      <c r="D27" s="10" t="s">
        <v>142</v>
      </c>
      <c r="E27" s="10" t="s">
        <v>92</v>
      </c>
      <c r="F27" s="10" t="s">
        <v>92</v>
      </c>
      <c r="G27" s="10" t="s">
        <v>92</v>
      </c>
      <c r="H27" s="10" t="s">
        <v>92</v>
      </c>
      <c r="I27" s="10" t="s">
        <v>143</v>
      </c>
      <c r="J27" s="10" t="s">
        <v>144</v>
      </c>
      <c r="K27" s="10" t="s">
        <v>131</v>
      </c>
    </row>
    <row r="28" customFormat="false" ht="15" hidden="false" customHeight="false" outlineLevel="0" collapsed="false">
      <c r="A28" s="10" t="s">
        <v>145</v>
      </c>
      <c r="B28" s="10" t="s">
        <v>92</v>
      </c>
      <c r="C28" s="10" t="s">
        <v>141</v>
      </c>
      <c r="D28" s="10" t="s">
        <v>142</v>
      </c>
      <c r="E28" s="10" t="s">
        <v>92</v>
      </c>
      <c r="F28" s="10" t="s">
        <v>92</v>
      </c>
      <c r="G28" s="10" t="s">
        <v>92</v>
      </c>
      <c r="H28" s="10" t="s">
        <v>92</v>
      </c>
      <c r="I28" s="10" t="s">
        <v>92</v>
      </c>
      <c r="J28" s="10" t="s">
        <v>92</v>
      </c>
      <c r="K28" s="1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17"/>
    <col collapsed="false" customWidth="true" hidden="false" outlineLevel="0" max="16" min="16" style="0" width="18"/>
    <col collapsed="false" customWidth="true" hidden="false" outlineLevel="0" max="17" min="17" style="0" width="9"/>
    <col collapsed="false" customWidth="true" hidden="false" outlineLevel="0" max="18" min="18" style="0" width="15"/>
    <col collapsed="false" customWidth="true" hidden="false" outlineLevel="0" max="19" min="19" style="0" width="13"/>
    <col collapsed="false" customWidth="true" hidden="false" outlineLevel="0" max="20" min="20" style="0" width="15"/>
  </cols>
  <sheetData>
    <row r="1" customFormat="false" ht="16.15" hidden="false" customHeight="false" outlineLevel="0" collapsed="false">
      <c r="A1" s="8" t="s">
        <v>146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9" t="s">
        <v>148</v>
      </c>
      <c r="B4" s="9" t="s">
        <v>149</v>
      </c>
      <c r="C4" s="9" t="s">
        <v>69</v>
      </c>
      <c r="D4" s="9" t="s">
        <v>150</v>
      </c>
      <c r="E4" s="9" t="s">
        <v>151</v>
      </c>
      <c r="F4" s="9" t="s">
        <v>152</v>
      </c>
      <c r="G4" s="9" t="s">
        <v>153</v>
      </c>
      <c r="H4" s="9" t="s">
        <v>154</v>
      </c>
      <c r="I4" s="9" t="s">
        <v>155</v>
      </c>
      <c r="J4" s="9" t="s">
        <v>156</v>
      </c>
      <c r="K4" s="9" t="s">
        <v>157</v>
      </c>
      <c r="L4" s="9" t="s">
        <v>158</v>
      </c>
      <c r="M4" s="9" t="s">
        <v>159</v>
      </c>
      <c r="N4" s="9" t="s">
        <v>160</v>
      </c>
      <c r="O4" s="9" t="s">
        <v>161</v>
      </c>
      <c r="P4" s="9" t="s">
        <v>162</v>
      </c>
      <c r="Q4" s="9" t="s">
        <v>163</v>
      </c>
      <c r="R4" s="9" t="s">
        <v>164</v>
      </c>
      <c r="S4" s="9" t="s">
        <v>165</v>
      </c>
      <c r="T4" s="9" t="s">
        <v>166</v>
      </c>
    </row>
    <row r="5" customFormat="false" ht="15" hidden="false" customHeight="false" outlineLevel="0" collapsed="false">
      <c r="A5" s="10" t="s">
        <v>167</v>
      </c>
      <c r="B5" s="10" t="s">
        <v>168</v>
      </c>
      <c r="C5" s="10" t="s">
        <v>104</v>
      </c>
      <c r="D5" s="10" t="s">
        <v>169</v>
      </c>
      <c r="E5" s="10" t="s">
        <v>170</v>
      </c>
      <c r="F5" s="10" t="s">
        <v>171</v>
      </c>
      <c r="G5" s="10" t="s">
        <v>172</v>
      </c>
      <c r="H5" s="10" t="s">
        <v>71</v>
      </c>
      <c r="I5" s="12" t="n">
        <v>33000</v>
      </c>
      <c r="J5" s="12" t="n">
        <v>26400</v>
      </c>
      <c r="K5" s="13" t="n">
        <f aca="false">IF(I5&gt;0,(I5-J5)/I5,"-")</f>
        <v>0.2</v>
      </c>
      <c r="L5" s="10" t="s">
        <v>173</v>
      </c>
      <c r="M5" s="10" t="s">
        <v>174</v>
      </c>
      <c r="N5" s="12" t="n">
        <v>26400</v>
      </c>
      <c r="O5" s="10" t="s">
        <v>175</v>
      </c>
      <c r="P5" s="14" t="n">
        <v>5</v>
      </c>
      <c r="Q5" s="10" t="s">
        <v>171</v>
      </c>
      <c r="R5" s="10" t="s">
        <v>176</v>
      </c>
      <c r="S5" s="14" t="n">
        <v>25</v>
      </c>
      <c r="T5" s="12" t="n">
        <f aca="false">S5*J5</f>
        <v>660000</v>
      </c>
    </row>
    <row r="6" customFormat="false" ht="15" hidden="false" customHeight="false" outlineLevel="0" collapsed="false">
      <c r="A6" s="10" t="s">
        <v>177</v>
      </c>
      <c r="B6" s="10" t="s">
        <v>178</v>
      </c>
      <c r="C6" s="10" t="s">
        <v>104</v>
      </c>
      <c r="D6" s="10" t="s">
        <v>169</v>
      </c>
      <c r="E6" s="10" t="s">
        <v>170</v>
      </c>
      <c r="F6" s="10" t="s">
        <v>171</v>
      </c>
      <c r="G6" s="10" t="s">
        <v>172</v>
      </c>
      <c r="H6" s="10" t="s">
        <v>71</v>
      </c>
      <c r="I6" s="12" t="n">
        <v>42000</v>
      </c>
      <c r="J6" s="12" t="n">
        <v>33600</v>
      </c>
      <c r="K6" s="13" t="n">
        <f aca="false">IF(I6&gt;0,(I6-J6)/I6,"-")</f>
        <v>0.2</v>
      </c>
      <c r="L6" s="10" t="s">
        <v>173</v>
      </c>
      <c r="M6" s="10" t="s">
        <v>179</v>
      </c>
      <c r="N6" s="12" t="n">
        <v>33600</v>
      </c>
      <c r="O6" s="10" t="s">
        <v>175</v>
      </c>
      <c r="P6" s="14" t="n">
        <v>5</v>
      </c>
      <c r="Q6" s="10" t="s">
        <v>171</v>
      </c>
      <c r="R6" s="10" t="s">
        <v>180</v>
      </c>
      <c r="S6" s="14" t="n">
        <v>18</v>
      </c>
      <c r="T6" s="12" t="n">
        <f aca="false">S6*J6</f>
        <v>604800</v>
      </c>
    </row>
    <row r="7" customFormat="false" ht="15" hidden="false" customHeight="false" outlineLevel="0" collapsed="false">
      <c r="A7" s="10" t="s">
        <v>181</v>
      </c>
      <c r="B7" s="10" t="s">
        <v>182</v>
      </c>
      <c r="C7" s="10" t="s">
        <v>104</v>
      </c>
      <c r="D7" s="10" t="s">
        <v>169</v>
      </c>
      <c r="E7" s="10" t="s">
        <v>170</v>
      </c>
      <c r="F7" s="10" t="s">
        <v>171</v>
      </c>
      <c r="G7" s="10" t="s">
        <v>172</v>
      </c>
      <c r="H7" s="10" t="s">
        <v>71</v>
      </c>
      <c r="I7" s="12" t="n">
        <v>72000</v>
      </c>
      <c r="J7" s="12" t="n">
        <v>57600</v>
      </c>
      <c r="K7" s="13" t="n">
        <f aca="false">IF(I7&gt;0,(I7-J7)/I7,"-")</f>
        <v>0.2</v>
      </c>
      <c r="L7" s="10" t="s">
        <v>173</v>
      </c>
      <c r="M7" s="10" t="s">
        <v>179</v>
      </c>
      <c r="N7" s="12" t="n">
        <v>57600</v>
      </c>
      <c r="O7" s="10" t="s">
        <v>175</v>
      </c>
      <c r="P7" s="14" t="n">
        <v>5</v>
      </c>
      <c r="Q7" s="10" t="s">
        <v>171</v>
      </c>
      <c r="R7" s="10" t="s">
        <v>183</v>
      </c>
      <c r="S7" s="14" t="n">
        <v>12</v>
      </c>
      <c r="T7" s="12" t="n">
        <f aca="false">S7*J7</f>
        <v>691200</v>
      </c>
    </row>
    <row r="8" customFormat="false" ht="15" hidden="false" customHeight="false" outlineLevel="0" collapsed="false">
      <c r="A8" s="10" t="s">
        <v>184</v>
      </c>
      <c r="B8" s="10" t="s">
        <v>185</v>
      </c>
      <c r="C8" s="10" t="s">
        <v>104</v>
      </c>
      <c r="D8" s="10" t="s">
        <v>169</v>
      </c>
      <c r="E8" s="10" t="s">
        <v>170</v>
      </c>
      <c r="F8" s="10" t="s">
        <v>171</v>
      </c>
      <c r="G8" s="10" t="s">
        <v>172</v>
      </c>
      <c r="H8" s="10" t="s">
        <v>71</v>
      </c>
      <c r="I8" s="12" t="n">
        <v>23500</v>
      </c>
      <c r="J8" s="12" t="n">
        <v>18800</v>
      </c>
      <c r="K8" s="13" t="n">
        <f aca="false">IF(I8&gt;0,(I8-J8)/I8,"-")</f>
        <v>0.2</v>
      </c>
      <c r="L8" s="10" t="s">
        <v>173</v>
      </c>
      <c r="M8" s="10" t="s">
        <v>174</v>
      </c>
      <c r="N8" s="12" t="n">
        <v>18800</v>
      </c>
      <c r="O8" s="10" t="s">
        <v>175</v>
      </c>
      <c r="P8" s="14" t="n">
        <v>5</v>
      </c>
      <c r="Q8" s="10" t="s">
        <v>171</v>
      </c>
      <c r="R8" s="10" t="s">
        <v>186</v>
      </c>
      <c r="S8" s="14" t="n">
        <v>30</v>
      </c>
      <c r="T8" s="12" t="n">
        <f aca="false">S8*J8</f>
        <v>564000</v>
      </c>
    </row>
    <row r="9" customFormat="false" ht="15" hidden="false" customHeight="false" outlineLevel="0" collapsed="false">
      <c r="A9" s="10" t="s">
        <v>187</v>
      </c>
      <c r="B9" s="10" t="s">
        <v>188</v>
      </c>
      <c r="C9" s="10" t="s">
        <v>104</v>
      </c>
      <c r="D9" s="10" t="s">
        <v>169</v>
      </c>
      <c r="E9" s="10" t="s">
        <v>170</v>
      </c>
      <c r="F9" s="10" t="s">
        <v>171</v>
      </c>
      <c r="G9" s="10" t="s">
        <v>172</v>
      </c>
      <c r="H9" s="10" t="s">
        <v>71</v>
      </c>
      <c r="I9" s="12" t="n">
        <v>26500</v>
      </c>
      <c r="J9" s="12" t="n">
        <v>21200</v>
      </c>
      <c r="K9" s="13" t="n">
        <f aca="false">IF(I9&gt;0,(I9-J9)/I9,"-")</f>
        <v>0.2</v>
      </c>
      <c r="L9" s="10" t="s">
        <v>173</v>
      </c>
      <c r="M9" s="10" t="s">
        <v>174</v>
      </c>
      <c r="N9" s="12" t="n">
        <v>21200</v>
      </c>
      <c r="O9" s="10" t="s">
        <v>175</v>
      </c>
      <c r="P9" s="14" t="n">
        <v>5</v>
      </c>
      <c r="Q9" s="10" t="s">
        <v>171</v>
      </c>
      <c r="R9" s="10" t="s">
        <v>189</v>
      </c>
      <c r="S9" s="14" t="n">
        <v>20</v>
      </c>
      <c r="T9" s="12" t="n">
        <f aca="false">S9*J9</f>
        <v>424000</v>
      </c>
    </row>
    <row r="10" customFormat="false" ht="15" hidden="false" customHeight="false" outlineLevel="0" collapsed="false">
      <c r="A10" s="10" t="s">
        <v>190</v>
      </c>
      <c r="B10" s="10" t="s">
        <v>191</v>
      </c>
      <c r="C10" s="10" t="s">
        <v>104</v>
      </c>
      <c r="D10" s="10" t="s">
        <v>169</v>
      </c>
      <c r="E10" s="10" t="s">
        <v>170</v>
      </c>
      <c r="F10" s="10" t="s">
        <v>171</v>
      </c>
      <c r="G10" s="10" t="s">
        <v>172</v>
      </c>
      <c r="H10" s="10" t="s">
        <v>71</v>
      </c>
      <c r="I10" s="12" t="n">
        <v>22500</v>
      </c>
      <c r="J10" s="12" t="n">
        <v>18000</v>
      </c>
      <c r="K10" s="13" t="n">
        <f aca="false">IF(I10&gt;0,(I10-J10)/I10,"-")</f>
        <v>0.2</v>
      </c>
      <c r="L10" s="10" t="s">
        <v>173</v>
      </c>
      <c r="M10" s="10" t="s">
        <v>174</v>
      </c>
      <c r="N10" s="12" t="n">
        <v>18000</v>
      </c>
      <c r="O10" s="10" t="s">
        <v>175</v>
      </c>
      <c r="P10" s="14" t="n">
        <v>5</v>
      </c>
      <c r="Q10" s="10" t="s">
        <v>171</v>
      </c>
      <c r="R10" s="10" t="s">
        <v>192</v>
      </c>
      <c r="S10" s="14" t="n">
        <v>35</v>
      </c>
      <c r="T10" s="12" t="n">
        <f aca="false">S10*J10</f>
        <v>630000</v>
      </c>
    </row>
    <row r="11" customFormat="false" ht="15" hidden="false" customHeight="false" outlineLevel="0" collapsed="false">
      <c r="A11" s="10" t="s">
        <v>193</v>
      </c>
      <c r="B11" s="10" t="s">
        <v>194</v>
      </c>
      <c r="C11" s="10" t="s">
        <v>104</v>
      </c>
      <c r="D11" s="10" t="s">
        <v>169</v>
      </c>
      <c r="E11" s="10" t="s">
        <v>170</v>
      </c>
      <c r="F11" s="10" t="s">
        <v>171</v>
      </c>
      <c r="G11" s="10" t="s">
        <v>172</v>
      </c>
      <c r="H11" s="10" t="s">
        <v>71</v>
      </c>
      <c r="I11" s="12" t="n">
        <v>29500</v>
      </c>
      <c r="J11" s="12" t="n">
        <v>23600</v>
      </c>
      <c r="K11" s="13" t="n">
        <f aca="false">IF(I11&gt;0,(I11-J11)/I11,"-")</f>
        <v>0.2</v>
      </c>
      <c r="L11" s="10" t="s">
        <v>173</v>
      </c>
      <c r="M11" s="10" t="s">
        <v>179</v>
      </c>
      <c r="N11" s="12" t="n">
        <v>23600</v>
      </c>
      <c r="O11" s="10" t="s">
        <v>175</v>
      </c>
      <c r="P11" s="14" t="n">
        <v>5</v>
      </c>
      <c r="Q11" s="10" t="s">
        <v>171</v>
      </c>
      <c r="R11" s="10" t="s">
        <v>195</v>
      </c>
      <c r="S11" s="14" t="n">
        <v>15</v>
      </c>
      <c r="T11" s="12" t="n">
        <f aca="false">S11*J11</f>
        <v>354000</v>
      </c>
    </row>
    <row r="12" customFormat="false" ht="15" hidden="false" customHeight="false" outlineLevel="0" collapsed="false">
      <c r="A12" s="10" t="s">
        <v>196</v>
      </c>
      <c r="B12" s="10" t="s">
        <v>197</v>
      </c>
      <c r="C12" s="10" t="s">
        <v>104</v>
      </c>
      <c r="D12" s="10" t="s">
        <v>169</v>
      </c>
      <c r="E12" s="10" t="s">
        <v>170</v>
      </c>
      <c r="F12" s="10" t="s">
        <v>171</v>
      </c>
      <c r="G12" s="10" t="s">
        <v>172</v>
      </c>
      <c r="H12" s="10" t="s">
        <v>71</v>
      </c>
      <c r="I12" s="12" t="n">
        <v>18200</v>
      </c>
      <c r="J12" s="12" t="n">
        <v>14550</v>
      </c>
      <c r="K12" s="13" t="n">
        <f aca="false">IF(I12&gt;0,(I12-J12)/I12,"-")</f>
        <v>0.200549450549451</v>
      </c>
      <c r="L12" s="10" t="s">
        <v>173</v>
      </c>
      <c r="M12" s="10" t="s">
        <v>174</v>
      </c>
      <c r="N12" s="12" t="n">
        <v>14550</v>
      </c>
      <c r="O12" s="10" t="s">
        <v>175</v>
      </c>
      <c r="P12" s="14" t="n">
        <v>5</v>
      </c>
      <c r="Q12" s="10" t="s">
        <v>171</v>
      </c>
      <c r="R12" s="10" t="s">
        <v>198</v>
      </c>
      <c r="S12" s="14" t="n">
        <v>22</v>
      </c>
      <c r="T12" s="12" t="n">
        <f aca="false">S12*J12</f>
        <v>320100</v>
      </c>
    </row>
    <row r="13" customFormat="false" ht="15" hidden="false" customHeight="false" outlineLevel="0" collapsed="false">
      <c r="A13" s="10" t="s">
        <v>199</v>
      </c>
      <c r="B13" s="10" t="s">
        <v>200</v>
      </c>
      <c r="C13" s="10" t="s">
        <v>107</v>
      </c>
      <c r="D13" s="10" t="s">
        <v>169</v>
      </c>
      <c r="E13" s="10" t="s">
        <v>170</v>
      </c>
      <c r="F13" s="10" t="s">
        <v>171</v>
      </c>
      <c r="G13" s="10" t="s">
        <v>172</v>
      </c>
      <c r="H13" s="10" t="s">
        <v>71</v>
      </c>
      <c r="I13" s="12" t="n">
        <v>30500</v>
      </c>
      <c r="J13" s="12" t="n">
        <v>24400</v>
      </c>
      <c r="K13" s="13" t="n">
        <f aca="false">IF(I13&gt;0,(I13-J13)/I13,"-")</f>
        <v>0.2</v>
      </c>
      <c r="L13" s="10" t="s">
        <v>173</v>
      </c>
      <c r="M13" s="10" t="s">
        <v>179</v>
      </c>
      <c r="N13" s="12" t="n">
        <v>24400</v>
      </c>
      <c r="O13" s="10" t="s">
        <v>175</v>
      </c>
      <c r="P13" s="14" t="n">
        <v>5</v>
      </c>
      <c r="Q13" s="10" t="s">
        <v>171</v>
      </c>
      <c r="R13" s="10" t="s">
        <v>201</v>
      </c>
      <c r="S13" s="14" t="n">
        <v>28</v>
      </c>
      <c r="T13" s="12" t="n">
        <f aca="false">S13*J13</f>
        <v>683200</v>
      </c>
    </row>
    <row r="14" customFormat="false" ht="15" hidden="false" customHeight="false" outlineLevel="0" collapsed="false">
      <c r="A14" s="10" t="s">
        <v>202</v>
      </c>
      <c r="B14" s="10" t="s">
        <v>203</v>
      </c>
      <c r="C14" s="10" t="s">
        <v>107</v>
      </c>
      <c r="D14" s="10" t="s">
        <v>169</v>
      </c>
      <c r="E14" s="10" t="s">
        <v>170</v>
      </c>
      <c r="F14" s="10" t="s">
        <v>171</v>
      </c>
      <c r="G14" s="10" t="s">
        <v>172</v>
      </c>
      <c r="H14" s="10" t="s">
        <v>71</v>
      </c>
      <c r="I14" s="12" t="n">
        <v>27000</v>
      </c>
      <c r="J14" s="12" t="n">
        <v>21600</v>
      </c>
      <c r="K14" s="13" t="n">
        <f aca="false">IF(I14&gt;0,(I14-J14)/I14,"-")</f>
        <v>0.2</v>
      </c>
      <c r="L14" s="10" t="s">
        <v>173</v>
      </c>
      <c r="M14" s="10" t="s">
        <v>179</v>
      </c>
      <c r="N14" s="12" t="n">
        <v>21600</v>
      </c>
      <c r="O14" s="10" t="s">
        <v>175</v>
      </c>
      <c r="P14" s="14" t="n">
        <v>5</v>
      </c>
      <c r="Q14" s="10" t="s">
        <v>171</v>
      </c>
      <c r="R14" s="10" t="s">
        <v>204</v>
      </c>
      <c r="S14" s="14" t="n">
        <v>24</v>
      </c>
      <c r="T14" s="12" t="n">
        <f aca="false">S14*J14</f>
        <v>518400</v>
      </c>
    </row>
    <row r="15" customFormat="false" ht="15" hidden="false" customHeight="false" outlineLevel="0" collapsed="false">
      <c r="A15" s="10" t="s">
        <v>205</v>
      </c>
      <c r="B15" s="10" t="s">
        <v>206</v>
      </c>
      <c r="C15" s="10" t="s">
        <v>107</v>
      </c>
      <c r="D15" s="10" t="s">
        <v>169</v>
      </c>
      <c r="E15" s="10" t="s">
        <v>170</v>
      </c>
      <c r="F15" s="10" t="s">
        <v>171</v>
      </c>
      <c r="G15" s="10" t="s">
        <v>172</v>
      </c>
      <c r="H15" s="10" t="s">
        <v>71</v>
      </c>
      <c r="I15" s="12" t="n">
        <v>21000</v>
      </c>
      <c r="J15" s="12" t="n">
        <v>16800</v>
      </c>
      <c r="K15" s="13" t="n">
        <f aca="false">IF(I15&gt;0,(I15-J15)/I15,"-")</f>
        <v>0.2</v>
      </c>
      <c r="L15" s="10" t="s">
        <v>173</v>
      </c>
      <c r="M15" s="10" t="s">
        <v>179</v>
      </c>
      <c r="N15" s="12" t="n">
        <v>16800</v>
      </c>
      <c r="O15" s="10" t="s">
        <v>175</v>
      </c>
      <c r="P15" s="14" t="n">
        <v>5</v>
      </c>
      <c r="Q15" s="10" t="s">
        <v>171</v>
      </c>
      <c r="R15" s="10" t="s">
        <v>207</v>
      </c>
      <c r="S15" s="14" t="n">
        <v>40</v>
      </c>
      <c r="T15" s="12" t="n">
        <f aca="false">S15*J15</f>
        <v>672000</v>
      </c>
    </row>
    <row r="16" customFormat="false" ht="15" hidden="false" customHeight="false" outlineLevel="0" collapsed="false">
      <c r="A16" s="10" t="s">
        <v>208</v>
      </c>
      <c r="B16" s="10" t="s">
        <v>209</v>
      </c>
      <c r="C16" s="10" t="s">
        <v>107</v>
      </c>
      <c r="D16" s="10" t="s">
        <v>169</v>
      </c>
      <c r="E16" s="10" t="s">
        <v>170</v>
      </c>
      <c r="F16" s="10" t="s">
        <v>171</v>
      </c>
      <c r="G16" s="10" t="s">
        <v>172</v>
      </c>
      <c r="H16" s="10" t="s">
        <v>71</v>
      </c>
      <c r="I16" s="12" t="n">
        <v>16800</v>
      </c>
      <c r="J16" s="12" t="n">
        <v>13450</v>
      </c>
      <c r="K16" s="13" t="n">
        <f aca="false">IF(I16&gt;0,(I16-J16)/I16,"-")</f>
        <v>0.199404761904762</v>
      </c>
      <c r="L16" s="10" t="s">
        <v>173</v>
      </c>
      <c r="M16" s="10" t="s">
        <v>174</v>
      </c>
      <c r="N16" s="12" t="n">
        <v>13450</v>
      </c>
      <c r="O16" s="10" t="s">
        <v>175</v>
      </c>
      <c r="P16" s="14" t="n">
        <v>5</v>
      </c>
      <c r="Q16" s="10" t="s">
        <v>171</v>
      </c>
      <c r="R16" s="10" t="s">
        <v>210</v>
      </c>
      <c r="S16" s="14" t="n">
        <v>32</v>
      </c>
      <c r="T16" s="12" t="n">
        <f aca="false">S16*J16</f>
        <v>430400</v>
      </c>
    </row>
    <row r="17" customFormat="false" ht="15" hidden="false" customHeight="false" outlineLevel="0" collapsed="false">
      <c r="A17" s="10" t="s">
        <v>211</v>
      </c>
      <c r="B17" s="10" t="s">
        <v>212</v>
      </c>
      <c r="C17" s="10" t="s">
        <v>107</v>
      </c>
      <c r="D17" s="10" t="s">
        <v>169</v>
      </c>
      <c r="E17" s="10" t="s">
        <v>170</v>
      </c>
      <c r="F17" s="10" t="s">
        <v>171</v>
      </c>
      <c r="G17" s="10" t="s">
        <v>172</v>
      </c>
      <c r="H17" s="10" t="s">
        <v>71</v>
      </c>
      <c r="I17" s="12" t="n">
        <v>20500</v>
      </c>
      <c r="J17" s="12" t="n">
        <v>16400</v>
      </c>
      <c r="K17" s="13" t="n">
        <f aca="false">IF(I17&gt;0,(I17-J17)/I17,"-")</f>
        <v>0.2</v>
      </c>
      <c r="L17" s="10" t="s">
        <v>173</v>
      </c>
      <c r="M17" s="10" t="s">
        <v>174</v>
      </c>
      <c r="N17" s="12" t="n">
        <v>16400</v>
      </c>
      <c r="O17" s="10" t="s">
        <v>175</v>
      </c>
      <c r="P17" s="14" t="n">
        <v>5</v>
      </c>
      <c r="Q17" s="10" t="s">
        <v>171</v>
      </c>
      <c r="R17" s="10" t="s">
        <v>213</v>
      </c>
      <c r="S17" s="14" t="n">
        <v>26</v>
      </c>
      <c r="T17" s="12" t="n">
        <f aca="false">S17*J17</f>
        <v>426400</v>
      </c>
    </row>
    <row r="18" customFormat="false" ht="15" hidden="false" customHeight="false" outlineLevel="0" collapsed="false">
      <c r="A18" s="10" t="s">
        <v>214</v>
      </c>
      <c r="B18" s="10" t="s">
        <v>215</v>
      </c>
      <c r="C18" s="10" t="s">
        <v>107</v>
      </c>
      <c r="D18" s="10" t="s">
        <v>169</v>
      </c>
      <c r="E18" s="10" t="s">
        <v>170</v>
      </c>
      <c r="F18" s="10" t="s">
        <v>171</v>
      </c>
      <c r="G18" s="10" t="s">
        <v>172</v>
      </c>
      <c r="H18" s="10" t="s">
        <v>71</v>
      </c>
      <c r="I18" s="12" t="n">
        <v>22000</v>
      </c>
      <c r="J18" s="12" t="n">
        <v>17600</v>
      </c>
      <c r="K18" s="13" t="n">
        <f aca="false">IF(I18&gt;0,(I18-J18)/I18,"-")</f>
        <v>0.2</v>
      </c>
      <c r="L18" s="10" t="s">
        <v>173</v>
      </c>
      <c r="M18" s="10" t="s">
        <v>179</v>
      </c>
      <c r="N18" s="12" t="n">
        <v>17600</v>
      </c>
      <c r="O18" s="10" t="s">
        <v>175</v>
      </c>
      <c r="P18" s="14" t="n">
        <v>5</v>
      </c>
      <c r="Q18" s="10" t="s">
        <v>171</v>
      </c>
      <c r="R18" s="10" t="s">
        <v>216</v>
      </c>
      <c r="S18" s="14" t="n">
        <v>19</v>
      </c>
      <c r="T18" s="12" t="n">
        <f aca="false">S18*J18</f>
        <v>334400</v>
      </c>
    </row>
    <row r="19" customFormat="false" ht="15" hidden="false" customHeight="false" outlineLevel="0" collapsed="false">
      <c r="A19" s="10" t="s">
        <v>217</v>
      </c>
      <c r="B19" s="10" t="s">
        <v>218</v>
      </c>
      <c r="C19" s="10" t="s">
        <v>107</v>
      </c>
      <c r="D19" s="10" t="s">
        <v>169</v>
      </c>
      <c r="E19" s="10" t="s">
        <v>170</v>
      </c>
      <c r="F19" s="10" t="s">
        <v>171</v>
      </c>
      <c r="G19" s="10" t="s">
        <v>172</v>
      </c>
      <c r="H19" s="10" t="s">
        <v>71</v>
      </c>
      <c r="I19" s="12" t="n">
        <v>35500</v>
      </c>
      <c r="J19" s="12" t="n">
        <v>28400</v>
      </c>
      <c r="K19" s="13" t="n">
        <f aca="false">IF(I19&gt;0,(I19-J19)/I19,"-")</f>
        <v>0.2</v>
      </c>
      <c r="L19" s="10" t="s">
        <v>173</v>
      </c>
      <c r="M19" s="10" t="s">
        <v>179</v>
      </c>
      <c r="N19" s="12" t="n">
        <v>28400</v>
      </c>
      <c r="O19" s="10" t="s">
        <v>175</v>
      </c>
      <c r="P19" s="14" t="n">
        <v>5</v>
      </c>
      <c r="Q19" s="10" t="s">
        <v>171</v>
      </c>
      <c r="R19" s="10" t="s">
        <v>219</v>
      </c>
      <c r="S19" s="14" t="n">
        <v>14</v>
      </c>
      <c r="T19" s="12" t="n">
        <f aca="false">S19*J19</f>
        <v>397600</v>
      </c>
    </row>
    <row r="20" customFormat="false" ht="15" hidden="false" customHeight="false" outlineLevel="0" collapsed="false">
      <c r="A20" s="10" t="s">
        <v>220</v>
      </c>
      <c r="B20" s="10" t="s">
        <v>221</v>
      </c>
      <c r="C20" s="10" t="s">
        <v>107</v>
      </c>
      <c r="D20" s="10" t="s">
        <v>169</v>
      </c>
      <c r="E20" s="10" t="s">
        <v>170</v>
      </c>
      <c r="F20" s="10" t="s">
        <v>171</v>
      </c>
      <c r="G20" s="10" t="s">
        <v>172</v>
      </c>
      <c r="H20" s="10" t="s">
        <v>71</v>
      </c>
      <c r="I20" s="12" t="n">
        <v>28000</v>
      </c>
      <c r="J20" s="12" t="n">
        <v>22400</v>
      </c>
      <c r="K20" s="13" t="n">
        <f aca="false">IF(I20&gt;0,(I20-J20)/I20,"-")</f>
        <v>0.2</v>
      </c>
      <c r="L20" s="10" t="s">
        <v>173</v>
      </c>
      <c r="M20" s="10" t="s">
        <v>174</v>
      </c>
      <c r="N20" s="12" t="n">
        <v>22400</v>
      </c>
      <c r="O20" s="10" t="s">
        <v>175</v>
      </c>
      <c r="P20" s="14" t="n">
        <v>5</v>
      </c>
      <c r="Q20" s="10" t="s">
        <v>171</v>
      </c>
      <c r="R20" s="10" t="s">
        <v>222</v>
      </c>
      <c r="S20" s="14" t="n">
        <v>17</v>
      </c>
      <c r="T20" s="12" t="n">
        <f aca="false">S20*J20</f>
        <v>380800</v>
      </c>
    </row>
    <row r="21" customFormat="false" ht="15" hidden="false" customHeight="false" outlineLevel="0" collapsed="false">
      <c r="A21" s="10" t="s">
        <v>223</v>
      </c>
      <c r="B21" s="10" t="s">
        <v>224</v>
      </c>
      <c r="C21" s="10" t="s">
        <v>91</v>
      </c>
      <c r="D21" s="10" t="s">
        <v>169</v>
      </c>
      <c r="E21" s="10" t="s">
        <v>170</v>
      </c>
      <c r="F21" s="10" t="s">
        <v>171</v>
      </c>
      <c r="G21" s="10" t="s">
        <v>172</v>
      </c>
      <c r="H21" s="10" t="s">
        <v>71</v>
      </c>
      <c r="I21" s="12" t="n">
        <v>27500</v>
      </c>
      <c r="J21" s="12" t="n">
        <v>22550</v>
      </c>
      <c r="K21" s="13" t="n">
        <f aca="false">IF(I21&gt;0,(I21-J21)/I21,"-")</f>
        <v>0.18</v>
      </c>
      <c r="L21" s="10" t="s">
        <v>173</v>
      </c>
      <c r="M21" s="10" t="s">
        <v>225</v>
      </c>
      <c r="N21" s="12" t="n">
        <v>410</v>
      </c>
      <c r="O21" s="10" t="s">
        <v>226</v>
      </c>
      <c r="P21" s="14" t="n">
        <v>60</v>
      </c>
      <c r="Q21" s="10" t="s">
        <v>171</v>
      </c>
      <c r="R21" s="10" t="s">
        <v>227</v>
      </c>
      <c r="S21" s="14" t="n">
        <v>45</v>
      </c>
      <c r="T21" s="12" t="n">
        <f aca="false">S21*J21</f>
        <v>1014750</v>
      </c>
    </row>
    <row r="22" customFormat="false" ht="15" hidden="false" customHeight="false" outlineLevel="0" collapsed="false">
      <c r="A22" s="10" t="s">
        <v>228</v>
      </c>
      <c r="B22" s="10" t="s">
        <v>229</v>
      </c>
      <c r="C22" s="10" t="s">
        <v>91</v>
      </c>
      <c r="D22" s="10" t="s">
        <v>169</v>
      </c>
      <c r="E22" s="10" t="s">
        <v>170</v>
      </c>
      <c r="F22" s="10" t="s">
        <v>171</v>
      </c>
      <c r="G22" s="10" t="s">
        <v>172</v>
      </c>
      <c r="H22" s="10" t="s">
        <v>71</v>
      </c>
      <c r="I22" s="12" t="n">
        <v>23000</v>
      </c>
      <c r="J22" s="12" t="n">
        <v>18850</v>
      </c>
      <c r="K22" s="13" t="n">
        <f aca="false">IF(I22&gt;0,(I22-J22)/I22,"-")</f>
        <v>0.180434782608696</v>
      </c>
      <c r="L22" s="10" t="s">
        <v>173</v>
      </c>
      <c r="M22" s="10" t="s">
        <v>174</v>
      </c>
      <c r="N22" s="12" t="n">
        <v>18850</v>
      </c>
      <c r="O22" s="10" t="s">
        <v>175</v>
      </c>
      <c r="P22" s="14" t="n">
        <v>5</v>
      </c>
      <c r="Q22" s="10" t="s">
        <v>171</v>
      </c>
      <c r="R22" s="10" t="s">
        <v>230</v>
      </c>
      <c r="S22" s="14" t="n">
        <v>50</v>
      </c>
      <c r="T22" s="12" t="n">
        <f aca="false">S22*J22</f>
        <v>942500</v>
      </c>
    </row>
    <row r="23" customFormat="false" ht="15" hidden="false" customHeight="false" outlineLevel="0" collapsed="false">
      <c r="A23" s="10" t="s">
        <v>231</v>
      </c>
      <c r="B23" s="10" t="s">
        <v>232</v>
      </c>
      <c r="C23" s="10" t="s">
        <v>91</v>
      </c>
      <c r="D23" s="10" t="s">
        <v>169</v>
      </c>
      <c r="E23" s="10" t="s">
        <v>170</v>
      </c>
      <c r="F23" s="10" t="s">
        <v>171</v>
      </c>
      <c r="G23" s="10" t="s">
        <v>172</v>
      </c>
      <c r="H23" s="10" t="s">
        <v>71</v>
      </c>
      <c r="I23" s="12" t="n">
        <v>37000</v>
      </c>
      <c r="J23" s="12" t="n">
        <v>30350</v>
      </c>
      <c r="K23" s="13" t="n">
        <f aca="false">IF(I23&gt;0,(I23-J23)/I23,"-")</f>
        <v>0.17972972972973</v>
      </c>
      <c r="L23" s="10" t="s">
        <v>173</v>
      </c>
      <c r="M23" s="10" t="s">
        <v>225</v>
      </c>
      <c r="N23" s="12" t="n">
        <v>551.82</v>
      </c>
      <c r="O23" s="10" t="s">
        <v>226</v>
      </c>
      <c r="P23" s="14" t="n">
        <v>60</v>
      </c>
      <c r="Q23" s="10" t="s">
        <v>171</v>
      </c>
      <c r="R23" s="10" t="s">
        <v>233</v>
      </c>
      <c r="S23" s="14" t="n">
        <v>30</v>
      </c>
      <c r="T23" s="12" t="n">
        <f aca="false">S23*J23</f>
        <v>910500</v>
      </c>
    </row>
    <row r="24" customFormat="false" ht="15" hidden="false" customHeight="false" outlineLevel="0" collapsed="false">
      <c r="A24" s="10" t="s">
        <v>234</v>
      </c>
      <c r="B24" s="10" t="s">
        <v>235</v>
      </c>
      <c r="C24" s="10" t="s">
        <v>91</v>
      </c>
      <c r="D24" s="10" t="s">
        <v>169</v>
      </c>
      <c r="E24" s="10" t="s">
        <v>170</v>
      </c>
      <c r="F24" s="10" t="s">
        <v>171</v>
      </c>
      <c r="G24" s="10" t="s">
        <v>172</v>
      </c>
      <c r="H24" s="10" t="s">
        <v>71</v>
      </c>
      <c r="I24" s="12" t="n">
        <v>49500</v>
      </c>
      <c r="J24" s="12" t="n">
        <v>40600</v>
      </c>
      <c r="K24" s="13" t="n">
        <f aca="false">IF(I24&gt;0,(I24-J24)/I24,"-")</f>
        <v>0.17979797979798</v>
      </c>
      <c r="L24" s="10" t="s">
        <v>173</v>
      </c>
      <c r="M24" s="10" t="s">
        <v>179</v>
      </c>
      <c r="N24" s="12" t="n">
        <v>40600</v>
      </c>
      <c r="O24" s="10" t="s">
        <v>175</v>
      </c>
      <c r="P24" s="14" t="n">
        <v>5</v>
      </c>
      <c r="Q24" s="10" t="s">
        <v>171</v>
      </c>
      <c r="R24" s="10" t="s">
        <v>236</v>
      </c>
      <c r="S24" s="14" t="n">
        <v>16</v>
      </c>
      <c r="T24" s="12" t="n">
        <f aca="false">S24*J24</f>
        <v>649600</v>
      </c>
    </row>
    <row r="25" customFormat="false" ht="15" hidden="false" customHeight="false" outlineLevel="0" collapsed="false">
      <c r="A25" s="10" t="s">
        <v>237</v>
      </c>
      <c r="B25" s="10" t="s">
        <v>238</v>
      </c>
      <c r="C25" s="10" t="s">
        <v>91</v>
      </c>
      <c r="D25" s="10" t="s">
        <v>169</v>
      </c>
      <c r="E25" s="10" t="s">
        <v>170</v>
      </c>
      <c r="F25" s="10" t="s">
        <v>171</v>
      </c>
      <c r="G25" s="10" t="s">
        <v>172</v>
      </c>
      <c r="H25" s="10" t="s">
        <v>71</v>
      </c>
      <c r="I25" s="12" t="n">
        <v>1950</v>
      </c>
      <c r="J25" s="12" t="n">
        <v>1600</v>
      </c>
      <c r="K25" s="13" t="n">
        <f aca="false">IF(I25&gt;0,(I25-J25)/I25,"-")</f>
        <v>0.17948717948718</v>
      </c>
      <c r="L25" s="10" t="s">
        <v>173</v>
      </c>
      <c r="M25" s="10" t="s">
        <v>174</v>
      </c>
      <c r="N25" s="12" t="n">
        <v>1600</v>
      </c>
      <c r="O25" s="10" t="s">
        <v>175</v>
      </c>
      <c r="P25" s="14" t="n">
        <v>5</v>
      </c>
      <c r="Q25" s="10" t="s">
        <v>171</v>
      </c>
      <c r="R25" s="10" t="s">
        <v>239</v>
      </c>
      <c r="S25" s="14" t="n">
        <v>80</v>
      </c>
      <c r="T25" s="12" t="n">
        <f aca="false">S25*J25</f>
        <v>128000</v>
      </c>
    </row>
    <row r="26" customFormat="false" ht="15" hidden="false" customHeight="false" outlineLevel="0" collapsed="false">
      <c r="A26" s="10" t="s">
        <v>240</v>
      </c>
      <c r="B26" s="10" t="s">
        <v>241</v>
      </c>
      <c r="C26" s="10" t="s">
        <v>91</v>
      </c>
      <c r="D26" s="10" t="s">
        <v>169</v>
      </c>
      <c r="E26" s="10" t="s">
        <v>170</v>
      </c>
      <c r="F26" s="10" t="s">
        <v>171</v>
      </c>
      <c r="G26" s="10" t="s">
        <v>172</v>
      </c>
      <c r="H26" s="10" t="s">
        <v>71</v>
      </c>
      <c r="I26" s="12" t="n">
        <v>1650</v>
      </c>
      <c r="J26" s="12" t="n">
        <v>1350</v>
      </c>
      <c r="K26" s="13" t="n">
        <f aca="false">IF(I26&gt;0,(I26-J26)/I26,"-")</f>
        <v>0.181818181818182</v>
      </c>
      <c r="L26" s="10" t="s">
        <v>173</v>
      </c>
      <c r="M26" s="10" t="s">
        <v>174</v>
      </c>
      <c r="N26" s="12" t="n">
        <v>1350</v>
      </c>
      <c r="O26" s="10" t="s">
        <v>175</v>
      </c>
      <c r="P26" s="14" t="n">
        <v>5</v>
      </c>
      <c r="Q26" s="10" t="s">
        <v>171</v>
      </c>
      <c r="R26" s="10" t="s">
        <v>242</v>
      </c>
      <c r="S26" s="14" t="n">
        <v>100</v>
      </c>
      <c r="T26" s="12" t="n">
        <f aca="false">S26*J26</f>
        <v>135000</v>
      </c>
    </row>
    <row r="27" customFormat="false" ht="15" hidden="false" customHeight="false" outlineLevel="0" collapsed="false">
      <c r="A27" s="10" t="s">
        <v>243</v>
      </c>
      <c r="B27" s="10" t="s">
        <v>244</v>
      </c>
      <c r="C27" s="10" t="s">
        <v>102</v>
      </c>
      <c r="D27" s="10" t="s">
        <v>169</v>
      </c>
      <c r="E27" s="10" t="s">
        <v>170</v>
      </c>
      <c r="F27" s="10" t="s">
        <v>171</v>
      </c>
      <c r="G27" s="10" t="s">
        <v>172</v>
      </c>
      <c r="H27" s="10" t="s">
        <v>71</v>
      </c>
      <c r="I27" s="12" t="n">
        <v>18500</v>
      </c>
      <c r="J27" s="12" t="n">
        <v>14800</v>
      </c>
      <c r="K27" s="13" t="n">
        <f aca="false">IF(I27&gt;0,(I27-J27)/I27,"-")</f>
        <v>0.2</v>
      </c>
      <c r="L27" s="10" t="s">
        <v>173</v>
      </c>
      <c r="M27" s="10" t="s">
        <v>174</v>
      </c>
      <c r="N27" s="12" t="n">
        <v>14800</v>
      </c>
      <c r="O27" s="10" t="s">
        <v>175</v>
      </c>
      <c r="P27" s="14" t="n">
        <v>5</v>
      </c>
      <c r="Q27" s="10" t="s">
        <v>171</v>
      </c>
      <c r="R27" s="10" t="s">
        <v>245</v>
      </c>
      <c r="S27" s="14" t="n">
        <v>22</v>
      </c>
      <c r="T27" s="12" t="n">
        <f aca="false">S27*J27</f>
        <v>325600</v>
      </c>
    </row>
    <row r="28" customFormat="false" ht="15" hidden="false" customHeight="false" outlineLevel="0" collapsed="false">
      <c r="A28" s="10" t="s">
        <v>246</v>
      </c>
      <c r="B28" s="10" t="s">
        <v>247</v>
      </c>
      <c r="C28" s="10" t="s">
        <v>102</v>
      </c>
      <c r="D28" s="10" t="s">
        <v>169</v>
      </c>
      <c r="E28" s="10" t="s">
        <v>170</v>
      </c>
      <c r="F28" s="10" t="s">
        <v>171</v>
      </c>
      <c r="G28" s="10" t="s">
        <v>172</v>
      </c>
      <c r="H28" s="10" t="s">
        <v>71</v>
      </c>
      <c r="I28" s="12" t="n">
        <v>36000</v>
      </c>
      <c r="J28" s="12" t="n">
        <v>28800</v>
      </c>
      <c r="K28" s="13" t="n">
        <f aca="false">IF(I28&gt;0,(I28-J28)/I28,"-")</f>
        <v>0.2</v>
      </c>
      <c r="L28" s="10" t="s">
        <v>173</v>
      </c>
      <c r="M28" s="10" t="s">
        <v>179</v>
      </c>
      <c r="N28" s="12" t="n">
        <v>28800</v>
      </c>
      <c r="O28" s="10" t="s">
        <v>175</v>
      </c>
      <c r="P28" s="14" t="n">
        <v>5</v>
      </c>
      <c r="Q28" s="10" t="s">
        <v>171</v>
      </c>
      <c r="R28" s="10" t="s">
        <v>248</v>
      </c>
      <c r="S28" s="14" t="n">
        <v>10</v>
      </c>
      <c r="T28" s="12" t="n">
        <f aca="false">S28*J28</f>
        <v>288000</v>
      </c>
    </row>
    <row r="29" customFormat="false" ht="15" hidden="false" customHeight="false" outlineLevel="0" collapsed="false">
      <c r="A29" s="10" t="s">
        <v>249</v>
      </c>
      <c r="B29" s="10" t="s">
        <v>250</v>
      </c>
      <c r="C29" s="10" t="s">
        <v>102</v>
      </c>
      <c r="D29" s="10" t="s">
        <v>169</v>
      </c>
      <c r="E29" s="10" t="s">
        <v>170</v>
      </c>
      <c r="F29" s="10" t="s">
        <v>171</v>
      </c>
      <c r="G29" s="10" t="s">
        <v>172</v>
      </c>
      <c r="H29" s="10" t="s">
        <v>71</v>
      </c>
      <c r="I29" s="12" t="n">
        <v>16800</v>
      </c>
      <c r="J29" s="12" t="n">
        <v>13450</v>
      </c>
      <c r="K29" s="13" t="n">
        <f aca="false">IF(I29&gt;0,(I29-J29)/I29,"-")</f>
        <v>0.199404761904762</v>
      </c>
      <c r="L29" s="10" t="s">
        <v>173</v>
      </c>
      <c r="M29" s="10" t="s">
        <v>174</v>
      </c>
      <c r="N29" s="12" t="n">
        <v>13450</v>
      </c>
      <c r="O29" s="10" t="s">
        <v>175</v>
      </c>
      <c r="P29" s="14" t="n">
        <v>5</v>
      </c>
      <c r="Q29" s="10" t="s">
        <v>171</v>
      </c>
      <c r="R29" s="10" t="s">
        <v>251</v>
      </c>
      <c r="S29" s="14" t="n">
        <v>25</v>
      </c>
      <c r="T29" s="12" t="n">
        <f aca="false">S29*J29</f>
        <v>336250</v>
      </c>
    </row>
    <row r="30" customFormat="false" ht="15" hidden="false" customHeight="false" outlineLevel="0" collapsed="false">
      <c r="A30" s="10" t="s">
        <v>252</v>
      </c>
      <c r="B30" s="10" t="s">
        <v>253</v>
      </c>
      <c r="C30" s="10" t="s">
        <v>102</v>
      </c>
      <c r="D30" s="10" t="s">
        <v>169</v>
      </c>
      <c r="E30" s="10" t="s">
        <v>170</v>
      </c>
      <c r="F30" s="10" t="s">
        <v>171</v>
      </c>
      <c r="G30" s="10" t="s">
        <v>172</v>
      </c>
      <c r="H30" s="10" t="s">
        <v>71</v>
      </c>
      <c r="I30" s="12" t="n">
        <v>6100</v>
      </c>
      <c r="J30" s="12" t="n">
        <v>4880</v>
      </c>
      <c r="K30" s="13" t="n">
        <f aca="false">IF(I30&gt;0,(I30-J30)/I30,"-")</f>
        <v>0.2</v>
      </c>
      <c r="L30" s="10" t="s">
        <v>173</v>
      </c>
      <c r="M30" s="10" t="s">
        <v>174</v>
      </c>
      <c r="N30" s="12" t="n">
        <v>4880</v>
      </c>
      <c r="O30" s="10" t="s">
        <v>175</v>
      </c>
      <c r="P30" s="14" t="n">
        <v>5</v>
      </c>
      <c r="Q30" s="10" t="s">
        <v>171</v>
      </c>
      <c r="R30" s="10" t="s">
        <v>254</v>
      </c>
      <c r="S30" s="14" t="n">
        <v>40</v>
      </c>
      <c r="T30" s="12" t="n">
        <f aca="false">S30*J30</f>
        <v>195200</v>
      </c>
    </row>
    <row r="31" customFormat="false" ht="15" hidden="false" customHeight="false" outlineLevel="0" collapsed="false">
      <c r="A31" s="10" t="s">
        <v>255</v>
      </c>
      <c r="B31" s="10" t="s">
        <v>256</v>
      </c>
      <c r="C31" s="10" t="s">
        <v>102</v>
      </c>
      <c r="D31" s="10" t="s">
        <v>169</v>
      </c>
      <c r="E31" s="10" t="s">
        <v>170</v>
      </c>
      <c r="F31" s="10" t="s">
        <v>171</v>
      </c>
      <c r="G31" s="10" t="s">
        <v>172</v>
      </c>
      <c r="H31" s="10" t="s">
        <v>71</v>
      </c>
      <c r="I31" s="12" t="n">
        <v>8900</v>
      </c>
      <c r="J31" s="12" t="n">
        <v>7100</v>
      </c>
      <c r="K31" s="13" t="n">
        <f aca="false">IF(I31&gt;0,(I31-J31)/I31,"-")</f>
        <v>0.202247191011236</v>
      </c>
      <c r="L31" s="10" t="s">
        <v>173</v>
      </c>
      <c r="M31" s="10" t="s">
        <v>179</v>
      </c>
      <c r="N31" s="12" t="n">
        <v>7100</v>
      </c>
      <c r="O31" s="10" t="s">
        <v>175</v>
      </c>
      <c r="P31" s="14" t="n">
        <v>5</v>
      </c>
      <c r="Q31" s="10" t="s">
        <v>171</v>
      </c>
      <c r="R31" s="10" t="s">
        <v>257</v>
      </c>
      <c r="S31" s="14" t="n">
        <v>35</v>
      </c>
      <c r="T31" s="12" t="n">
        <f aca="false">S31*J31</f>
        <v>248500</v>
      </c>
    </row>
    <row r="32" customFormat="false" ht="15" hidden="false" customHeight="false" outlineLevel="0" collapsed="false">
      <c r="A32" s="10" t="s">
        <v>258</v>
      </c>
      <c r="B32" s="10" t="s">
        <v>259</v>
      </c>
      <c r="C32" s="10" t="s">
        <v>102</v>
      </c>
      <c r="D32" s="10" t="s">
        <v>169</v>
      </c>
      <c r="E32" s="10" t="s">
        <v>170</v>
      </c>
      <c r="F32" s="10" t="s">
        <v>171</v>
      </c>
      <c r="G32" s="10" t="s">
        <v>172</v>
      </c>
      <c r="H32" s="10" t="s">
        <v>71</v>
      </c>
      <c r="I32" s="12" t="n">
        <v>3800</v>
      </c>
      <c r="J32" s="12" t="n">
        <v>3040</v>
      </c>
      <c r="K32" s="13" t="n">
        <f aca="false">IF(I32&gt;0,(I32-J32)/I32,"-")</f>
        <v>0.2</v>
      </c>
      <c r="L32" s="10" t="s">
        <v>173</v>
      </c>
      <c r="M32" s="10" t="s">
        <v>174</v>
      </c>
      <c r="N32" s="12" t="n">
        <v>3040</v>
      </c>
      <c r="O32" s="10" t="s">
        <v>175</v>
      </c>
      <c r="P32" s="14" t="n">
        <v>5</v>
      </c>
      <c r="Q32" s="10" t="s">
        <v>171</v>
      </c>
      <c r="R32" s="10" t="s">
        <v>260</v>
      </c>
      <c r="S32" s="14" t="n">
        <v>50</v>
      </c>
      <c r="T32" s="12" t="n">
        <f aca="false">S32*J32</f>
        <v>152000</v>
      </c>
    </row>
    <row r="33" customFormat="false" ht="15" hidden="false" customHeight="false" outlineLevel="0" collapsed="false">
      <c r="A33" s="10" t="s">
        <v>261</v>
      </c>
      <c r="B33" s="10" t="s">
        <v>262</v>
      </c>
      <c r="C33" s="10" t="s">
        <v>110</v>
      </c>
      <c r="D33" s="10" t="s">
        <v>169</v>
      </c>
      <c r="E33" s="10" t="s">
        <v>170</v>
      </c>
      <c r="F33" s="10" t="s">
        <v>171</v>
      </c>
      <c r="G33" s="10" t="s">
        <v>172</v>
      </c>
      <c r="H33" s="10" t="s">
        <v>71</v>
      </c>
      <c r="I33" s="12" t="n">
        <v>21500</v>
      </c>
      <c r="J33" s="12" t="n">
        <v>18050</v>
      </c>
      <c r="K33" s="13" t="n">
        <f aca="false">IF(I33&gt;0,(I33-J33)/I33,"-")</f>
        <v>0.16046511627907</v>
      </c>
      <c r="L33" s="10" t="s">
        <v>173</v>
      </c>
      <c r="M33" s="10" t="s">
        <v>179</v>
      </c>
      <c r="N33" s="12" t="n">
        <v>18050</v>
      </c>
      <c r="O33" s="10" t="s">
        <v>175</v>
      </c>
      <c r="P33" s="14" t="n">
        <v>5</v>
      </c>
      <c r="Q33" s="10" t="s">
        <v>171</v>
      </c>
      <c r="R33" s="10" t="s">
        <v>263</v>
      </c>
      <c r="S33" s="14" t="n">
        <v>45</v>
      </c>
      <c r="T33" s="12" t="n">
        <f aca="false">S33*J33</f>
        <v>812250</v>
      </c>
    </row>
    <row r="34" customFormat="false" ht="15" hidden="false" customHeight="false" outlineLevel="0" collapsed="false">
      <c r="A34" s="10" t="s">
        <v>264</v>
      </c>
      <c r="B34" s="10" t="s">
        <v>265</v>
      </c>
      <c r="C34" s="10" t="s">
        <v>110</v>
      </c>
      <c r="D34" s="10" t="s">
        <v>169</v>
      </c>
      <c r="E34" s="10" t="s">
        <v>170</v>
      </c>
      <c r="F34" s="10" t="s">
        <v>171</v>
      </c>
      <c r="G34" s="10" t="s">
        <v>172</v>
      </c>
      <c r="H34" s="10" t="s">
        <v>71</v>
      </c>
      <c r="I34" s="12" t="n">
        <v>19200</v>
      </c>
      <c r="J34" s="12" t="n">
        <v>16150</v>
      </c>
      <c r="K34" s="13" t="n">
        <f aca="false">IF(I34&gt;0,(I34-J34)/I34,"-")</f>
        <v>0.158854166666667</v>
      </c>
      <c r="L34" s="10" t="s">
        <v>173</v>
      </c>
      <c r="M34" s="10" t="s">
        <v>179</v>
      </c>
      <c r="N34" s="12" t="n">
        <v>16150</v>
      </c>
      <c r="O34" s="10" t="s">
        <v>175</v>
      </c>
      <c r="P34" s="14" t="n">
        <v>5</v>
      </c>
      <c r="Q34" s="10" t="s">
        <v>171</v>
      </c>
      <c r="R34" s="10" t="s">
        <v>266</v>
      </c>
      <c r="S34" s="14" t="n">
        <v>38</v>
      </c>
      <c r="T34" s="12" t="n">
        <f aca="false">S34*J34</f>
        <v>613700</v>
      </c>
    </row>
    <row r="35" customFormat="false" ht="15" hidden="false" customHeight="false" outlineLevel="0" collapsed="false">
      <c r="A35" s="10" t="s">
        <v>267</v>
      </c>
      <c r="B35" s="10" t="s">
        <v>268</v>
      </c>
      <c r="C35" s="10" t="s">
        <v>110</v>
      </c>
      <c r="D35" s="10" t="s">
        <v>169</v>
      </c>
      <c r="E35" s="10" t="s">
        <v>170</v>
      </c>
      <c r="F35" s="10" t="s">
        <v>171</v>
      </c>
      <c r="G35" s="10" t="s">
        <v>172</v>
      </c>
      <c r="H35" s="10" t="s">
        <v>71</v>
      </c>
      <c r="I35" s="12" t="n">
        <v>13500</v>
      </c>
      <c r="J35" s="12" t="n">
        <v>11350</v>
      </c>
      <c r="K35" s="13" t="n">
        <f aca="false">IF(I35&gt;0,(I35-J35)/I35,"-")</f>
        <v>0.159259259259259</v>
      </c>
      <c r="L35" s="10" t="s">
        <v>173</v>
      </c>
      <c r="M35" s="10" t="s">
        <v>174</v>
      </c>
      <c r="N35" s="12" t="n">
        <v>11350</v>
      </c>
      <c r="O35" s="10" t="s">
        <v>175</v>
      </c>
      <c r="P35" s="14" t="n">
        <v>5</v>
      </c>
      <c r="Q35" s="10" t="s">
        <v>171</v>
      </c>
      <c r="R35" s="10" t="s">
        <v>269</v>
      </c>
      <c r="S35" s="14" t="n">
        <v>60</v>
      </c>
      <c r="T35" s="12" t="n">
        <f aca="false">S35*J35</f>
        <v>681000</v>
      </c>
    </row>
    <row r="36" customFormat="false" ht="15" hidden="false" customHeight="false" outlineLevel="0" collapsed="false">
      <c r="A36" s="10" t="s">
        <v>270</v>
      </c>
      <c r="B36" s="10" t="s">
        <v>271</v>
      </c>
      <c r="C36" s="10" t="s">
        <v>110</v>
      </c>
      <c r="D36" s="10" t="s">
        <v>169</v>
      </c>
      <c r="E36" s="10" t="s">
        <v>170</v>
      </c>
      <c r="F36" s="10" t="s">
        <v>171</v>
      </c>
      <c r="G36" s="10" t="s">
        <v>172</v>
      </c>
      <c r="H36" s="10" t="s">
        <v>71</v>
      </c>
      <c r="I36" s="12" t="n">
        <v>7000</v>
      </c>
      <c r="J36" s="12" t="n">
        <v>5900</v>
      </c>
      <c r="K36" s="13" t="n">
        <f aca="false">IF(I36&gt;0,(I36-J36)/I36,"-")</f>
        <v>0.157142857142857</v>
      </c>
      <c r="L36" s="10" t="s">
        <v>173</v>
      </c>
      <c r="M36" s="10" t="s">
        <v>174</v>
      </c>
      <c r="N36" s="12" t="n">
        <v>5900</v>
      </c>
      <c r="O36" s="10" t="s">
        <v>175</v>
      </c>
      <c r="P36" s="14" t="n">
        <v>5</v>
      </c>
      <c r="Q36" s="10" t="s">
        <v>171</v>
      </c>
      <c r="R36" s="10" t="s">
        <v>272</v>
      </c>
      <c r="S36" s="14" t="n">
        <v>75</v>
      </c>
      <c r="T36" s="12" t="n">
        <f aca="false">S36*J36</f>
        <v>442500</v>
      </c>
    </row>
    <row r="37" customFormat="false" ht="15" hidden="false" customHeight="false" outlineLevel="0" collapsed="false">
      <c r="A37" s="10" t="s">
        <v>273</v>
      </c>
      <c r="B37" s="10" t="s">
        <v>274</v>
      </c>
      <c r="C37" s="10" t="s">
        <v>110</v>
      </c>
      <c r="D37" s="10" t="s">
        <v>169</v>
      </c>
      <c r="E37" s="10" t="s">
        <v>170</v>
      </c>
      <c r="F37" s="10" t="s">
        <v>171</v>
      </c>
      <c r="G37" s="10" t="s">
        <v>172</v>
      </c>
      <c r="H37" s="10" t="s">
        <v>71</v>
      </c>
      <c r="I37" s="12" t="n">
        <v>62000</v>
      </c>
      <c r="J37" s="12" t="n">
        <v>52100</v>
      </c>
      <c r="K37" s="13" t="n">
        <f aca="false">IF(I37&gt;0,(I37-J37)/I37,"-")</f>
        <v>0.159677419354839</v>
      </c>
      <c r="L37" s="10" t="s">
        <v>173</v>
      </c>
      <c r="M37" s="10" t="s">
        <v>179</v>
      </c>
      <c r="N37" s="12" t="n">
        <v>52100</v>
      </c>
      <c r="O37" s="10" t="s">
        <v>175</v>
      </c>
      <c r="P37" s="14" t="n">
        <v>5</v>
      </c>
      <c r="Q37" s="10" t="s">
        <v>171</v>
      </c>
      <c r="R37" s="10" t="s">
        <v>275</v>
      </c>
      <c r="S37" s="14" t="n">
        <v>8</v>
      </c>
      <c r="T37" s="12" t="n">
        <f aca="false">S37*J37</f>
        <v>416800</v>
      </c>
    </row>
    <row r="38" customFormat="false" ht="15" hidden="false" customHeight="false" outlineLevel="0" collapsed="false">
      <c r="A38" s="10" t="s">
        <v>276</v>
      </c>
      <c r="B38" s="10" t="s">
        <v>277</v>
      </c>
      <c r="C38" s="10" t="s">
        <v>110</v>
      </c>
      <c r="D38" s="10" t="s">
        <v>169</v>
      </c>
      <c r="E38" s="10" t="s">
        <v>170</v>
      </c>
      <c r="F38" s="10" t="s">
        <v>171</v>
      </c>
      <c r="G38" s="10" t="s">
        <v>172</v>
      </c>
      <c r="H38" s="10" t="s">
        <v>71</v>
      </c>
      <c r="I38" s="12" t="n">
        <v>11200</v>
      </c>
      <c r="J38" s="12" t="n">
        <v>9400</v>
      </c>
      <c r="K38" s="13" t="n">
        <f aca="false">IF(I38&gt;0,(I38-J38)/I38,"-")</f>
        <v>0.160714285714286</v>
      </c>
      <c r="L38" s="10" t="s">
        <v>173</v>
      </c>
      <c r="M38" s="10" t="s">
        <v>278</v>
      </c>
      <c r="N38" s="12" t="n">
        <v>9400</v>
      </c>
      <c r="O38" s="10" t="s">
        <v>175</v>
      </c>
      <c r="P38" s="14" t="n">
        <v>4</v>
      </c>
      <c r="Q38" s="10" t="s">
        <v>171</v>
      </c>
      <c r="R38" s="10" t="s">
        <v>279</v>
      </c>
      <c r="S38" s="14" t="n">
        <v>30</v>
      </c>
      <c r="T38" s="12" t="n">
        <f aca="false">S38*J38</f>
        <v>282000</v>
      </c>
    </row>
    <row r="39" customFormat="false" ht="15" hidden="false" customHeight="false" outlineLevel="0" collapsed="false">
      <c r="A39" s="10" t="s">
        <v>280</v>
      </c>
      <c r="B39" s="10" t="s">
        <v>281</v>
      </c>
      <c r="C39" s="10" t="s">
        <v>118</v>
      </c>
      <c r="D39" s="10" t="s">
        <v>169</v>
      </c>
      <c r="E39" s="10" t="s">
        <v>170</v>
      </c>
      <c r="F39" s="10" t="s">
        <v>171</v>
      </c>
      <c r="G39" s="10" t="s">
        <v>172</v>
      </c>
      <c r="H39" s="10" t="s">
        <v>71</v>
      </c>
      <c r="I39" s="12" t="n">
        <v>1850</v>
      </c>
      <c r="J39" s="12" t="n">
        <v>1370</v>
      </c>
      <c r="K39" s="13" t="n">
        <f aca="false">IF(I39&gt;0,(I39-J39)/I39,"-")</f>
        <v>0.25945945945946</v>
      </c>
      <c r="L39" s="10" t="s">
        <v>173</v>
      </c>
      <c r="M39" s="10" t="s">
        <v>278</v>
      </c>
      <c r="N39" s="12" t="n">
        <v>1370</v>
      </c>
      <c r="O39" s="10" t="s">
        <v>175</v>
      </c>
      <c r="P39" s="14" t="n">
        <v>4</v>
      </c>
      <c r="Q39" s="10" t="s">
        <v>171</v>
      </c>
      <c r="R39" s="10" t="s">
        <v>282</v>
      </c>
      <c r="S39" s="14" t="n">
        <v>90</v>
      </c>
      <c r="T39" s="12" t="n">
        <f aca="false">S39*J39</f>
        <v>123300</v>
      </c>
    </row>
    <row r="40" customFormat="false" ht="15" hidden="false" customHeight="false" outlineLevel="0" collapsed="false">
      <c r="A40" s="10" t="s">
        <v>283</v>
      </c>
      <c r="B40" s="10" t="s">
        <v>284</v>
      </c>
      <c r="C40" s="10" t="s">
        <v>118</v>
      </c>
      <c r="D40" s="10" t="s">
        <v>169</v>
      </c>
      <c r="E40" s="10" t="s">
        <v>170</v>
      </c>
      <c r="F40" s="10" t="s">
        <v>171</v>
      </c>
      <c r="G40" s="10" t="s">
        <v>172</v>
      </c>
      <c r="H40" s="10" t="s">
        <v>71</v>
      </c>
      <c r="I40" s="12" t="n">
        <v>9200</v>
      </c>
      <c r="J40" s="12" t="n">
        <v>6800</v>
      </c>
      <c r="K40" s="13" t="n">
        <f aca="false">IF(I40&gt;0,(I40-J40)/I40,"-")</f>
        <v>0.260869565217391</v>
      </c>
      <c r="L40" s="10" t="s">
        <v>173</v>
      </c>
      <c r="M40" s="10" t="s">
        <v>278</v>
      </c>
      <c r="N40" s="12" t="n">
        <v>6800</v>
      </c>
      <c r="O40" s="10" t="s">
        <v>175</v>
      </c>
      <c r="P40" s="14" t="n">
        <v>4</v>
      </c>
      <c r="Q40" s="10" t="s">
        <v>171</v>
      </c>
      <c r="R40" s="10" t="s">
        <v>285</v>
      </c>
      <c r="S40" s="14" t="n">
        <v>50</v>
      </c>
      <c r="T40" s="12" t="n">
        <f aca="false">S40*J40</f>
        <v>340000</v>
      </c>
    </row>
    <row r="41" customFormat="false" ht="15" hidden="false" customHeight="false" outlineLevel="0" collapsed="false">
      <c r="A41" s="10" t="s">
        <v>286</v>
      </c>
      <c r="B41" s="10" t="s">
        <v>287</v>
      </c>
      <c r="C41" s="10" t="s">
        <v>118</v>
      </c>
      <c r="D41" s="10" t="s">
        <v>169</v>
      </c>
      <c r="E41" s="10" t="s">
        <v>170</v>
      </c>
      <c r="F41" s="10" t="s">
        <v>171</v>
      </c>
      <c r="G41" s="10" t="s">
        <v>172</v>
      </c>
      <c r="H41" s="10" t="s">
        <v>71</v>
      </c>
      <c r="I41" s="12" t="n">
        <v>10200</v>
      </c>
      <c r="J41" s="12" t="n">
        <v>7550</v>
      </c>
      <c r="K41" s="13" t="n">
        <f aca="false">IF(I41&gt;0,(I41-J41)/I41,"-")</f>
        <v>0.259803921568627</v>
      </c>
      <c r="L41" s="10" t="s">
        <v>173</v>
      </c>
      <c r="M41" s="10" t="s">
        <v>278</v>
      </c>
      <c r="N41" s="12" t="n">
        <v>7550</v>
      </c>
      <c r="O41" s="10" t="s">
        <v>175</v>
      </c>
      <c r="P41" s="14" t="n">
        <v>4</v>
      </c>
      <c r="Q41" s="10" t="s">
        <v>171</v>
      </c>
      <c r="R41" s="10" t="s">
        <v>288</v>
      </c>
      <c r="S41" s="14" t="n">
        <v>35</v>
      </c>
      <c r="T41" s="12" t="n">
        <f aca="false">S41*J41</f>
        <v>264250</v>
      </c>
    </row>
    <row r="42" customFormat="false" ht="15" hidden="false" customHeight="false" outlineLevel="0" collapsed="false">
      <c r="A42" s="10" t="s">
        <v>289</v>
      </c>
      <c r="B42" s="10" t="s">
        <v>290</v>
      </c>
      <c r="C42" s="10" t="s">
        <v>118</v>
      </c>
      <c r="D42" s="10" t="s">
        <v>169</v>
      </c>
      <c r="E42" s="10" t="s">
        <v>170</v>
      </c>
      <c r="F42" s="10" t="s">
        <v>171</v>
      </c>
      <c r="G42" s="10" t="s">
        <v>172</v>
      </c>
      <c r="H42" s="10" t="s">
        <v>71</v>
      </c>
      <c r="I42" s="12" t="n">
        <v>2900</v>
      </c>
      <c r="J42" s="12" t="n">
        <v>2150</v>
      </c>
      <c r="K42" s="13" t="n">
        <f aca="false">IF(I42&gt;0,(I42-J42)/I42,"-")</f>
        <v>0.258620689655172</v>
      </c>
      <c r="L42" s="10" t="s">
        <v>173</v>
      </c>
      <c r="M42" s="10" t="s">
        <v>278</v>
      </c>
      <c r="N42" s="12" t="n">
        <v>2150</v>
      </c>
      <c r="O42" s="10" t="s">
        <v>175</v>
      </c>
      <c r="P42" s="14" t="n">
        <v>4</v>
      </c>
      <c r="Q42" s="10" t="s">
        <v>171</v>
      </c>
      <c r="R42" s="10" t="s">
        <v>291</v>
      </c>
      <c r="S42" s="14" t="n">
        <v>110</v>
      </c>
      <c r="T42" s="12" t="n">
        <f aca="false">S42*J42</f>
        <v>236500</v>
      </c>
    </row>
    <row r="43" customFormat="false" ht="15" hidden="false" customHeight="false" outlineLevel="0" collapsed="false">
      <c r="A43" s="10" t="s">
        <v>292</v>
      </c>
      <c r="B43" s="10" t="s">
        <v>293</v>
      </c>
      <c r="C43" s="10" t="s">
        <v>118</v>
      </c>
      <c r="D43" s="10" t="s">
        <v>169</v>
      </c>
      <c r="E43" s="10" t="s">
        <v>170</v>
      </c>
      <c r="F43" s="10" t="s">
        <v>171</v>
      </c>
      <c r="G43" s="10" t="s">
        <v>172</v>
      </c>
      <c r="H43" s="10" t="s">
        <v>71</v>
      </c>
      <c r="I43" s="12" t="n">
        <v>10800</v>
      </c>
      <c r="J43" s="12" t="n">
        <v>8000</v>
      </c>
      <c r="K43" s="13" t="n">
        <f aca="false">IF(I43&gt;0,(I43-J43)/I43,"-")</f>
        <v>0.259259259259259</v>
      </c>
      <c r="L43" s="10" t="s">
        <v>173</v>
      </c>
      <c r="M43" s="10" t="s">
        <v>278</v>
      </c>
      <c r="N43" s="12" t="n">
        <v>8000</v>
      </c>
      <c r="O43" s="10" t="s">
        <v>175</v>
      </c>
      <c r="P43" s="14" t="n">
        <v>4</v>
      </c>
      <c r="Q43" s="10" t="s">
        <v>171</v>
      </c>
      <c r="R43" s="10" t="s">
        <v>294</v>
      </c>
      <c r="S43" s="14" t="n">
        <v>25</v>
      </c>
      <c r="T43" s="12" t="n">
        <f aca="false">S43*J43</f>
        <v>200000</v>
      </c>
    </row>
    <row r="44" customFormat="false" ht="15" hidden="false" customHeight="false" outlineLevel="0" collapsed="false">
      <c r="A44" s="10" t="s">
        <v>295</v>
      </c>
      <c r="B44" s="10" t="s">
        <v>296</v>
      </c>
      <c r="C44" s="10" t="s">
        <v>118</v>
      </c>
      <c r="D44" s="10" t="s">
        <v>169</v>
      </c>
      <c r="E44" s="10" t="s">
        <v>170</v>
      </c>
      <c r="F44" s="10" t="s">
        <v>171</v>
      </c>
      <c r="G44" s="10" t="s">
        <v>172</v>
      </c>
      <c r="H44" s="10" t="s">
        <v>71</v>
      </c>
      <c r="I44" s="12" t="n">
        <v>7800</v>
      </c>
      <c r="J44" s="12" t="n">
        <v>5750</v>
      </c>
      <c r="K44" s="13" t="n">
        <f aca="false">IF(I44&gt;0,(I44-J44)/I44,"-")</f>
        <v>0.262820512820513</v>
      </c>
      <c r="L44" s="10" t="s">
        <v>173</v>
      </c>
      <c r="M44" s="10" t="s">
        <v>278</v>
      </c>
      <c r="N44" s="12" t="n">
        <v>5750</v>
      </c>
      <c r="O44" s="10" t="s">
        <v>175</v>
      </c>
      <c r="P44" s="14" t="n">
        <v>4</v>
      </c>
      <c r="Q44" s="10" t="s">
        <v>171</v>
      </c>
      <c r="R44" s="10" t="s">
        <v>297</v>
      </c>
      <c r="S44" s="14" t="n">
        <v>40</v>
      </c>
      <c r="T44" s="12" t="n">
        <f aca="false">S44*J44</f>
        <v>230000</v>
      </c>
    </row>
    <row r="45" customFormat="false" ht="15" hidden="false" customHeight="false" outlineLevel="0" collapsed="false">
      <c r="A45" s="10" t="s">
        <v>298</v>
      </c>
      <c r="B45" s="10" t="s">
        <v>299</v>
      </c>
      <c r="C45" s="10" t="s">
        <v>126</v>
      </c>
      <c r="D45" s="10" t="s">
        <v>120</v>
      </c>
      <c r="E45" s="10" t="s">
        <v>170</v>
      </c>
      <c r="F45" s="10" t="s">
        <v>171</v>
      </c>
      <c r="G45" s="10" t="s">
        <v>92</v>
      </c>
      <c r="H45" s="10" t="s">
        <v>71</v>
      </c>
      <c r="I45" s="12" t="n">
        <v>1600</v>
      </c>
      <c r="J45" s="12" t="n">
        <v>856.5</v>
      </c>
      <c r="K45" s="13" t="n">
        <f aca="false">IF(I45&gt;0,(I45-J45)/I45,"-")</f>
        <v>0.4646875</v>
      </c>
      <c r="L45" s="10" t="s">
        <v>300</v>
      </c>
      <c r="M45" s="10" t="s">
        <v>92</v>
      </c>
      <c r="N45" s="12"/>
      <c r="O45" s="10" t="s">
        <v>92</v>
      </c>
      <c r="P45" s="14"/>
      <c r="Q45" s="10" t="s">
        <v>301</v>
      </c>
      <c r="R45" s="10" t="s">
        <v>302</v>
      </c>
      <c r="S45" s="14" t="n">
        <v>120</v>
      </c>
      <c r="T45" s="12" t="n">
        <f aca="false">S45*J45</f>
        <v>102780</v>
      </c>
    </row>
    <row r="46" customFormat="false" ht="15" hidden="false" customHeight="false" outlineLevel="0" collapsed="false">
      <c r="A46" s="10" t="s">
        <v>303</v>
      </c>
      <c r="B46" s="10" t="s">
        <v>304</v>
      </c>
      <c r="C46" s="10" t="s">
        <v>127</v>
      </c>
      <c r="D46" s="10" t="s">
        <v>120</v>
      </c>
      <c r="E46" s="10" t="s">
        <v>170</v>
      </c>
      <c r="F46" s="10" t="s">
        <v>171</v>
      </c>
      <c r="G46" s="10" t="s">
        <v>92</v>
      </c>
      <c r="H46" s="10" t="s">
        <v>71</v>
      </c>
      <c r="I46" s="12" t="n">
        <v>650</v>
      </c>
      <c r="J46" s="12" t="n">
        <v>204</v>
      </c>
      <c r="K46" s="13" t="n">
        <f aca="false">IF(I46&gt;0,(I46-J46)/I46,"-")</f>
        <v>0.686153846153846</v>
      </c>
      <c r="L46" s="10" t="s">
        <v>300</v>
      </c>
      <c r="M46" s="10" t="s">
        <v>92</v>
      </c>
      <c r="N46" s="12"/>
      <c r="O46" s="10" t="s">
        <v>92</v>
      </c>
      <c r="P46" s="14"/>
      <c r="Q46" s="10" t="s">
        <v>301</v>
      </c>
      <c r="R46" s="10" t="s">
        <v>305</v>
      </c>
      <c r="S46" s="14" t="n">
        <v>200</v>
      </c>
      <c r="T46" s="12" t="n">
        <f aca="false">S46*J46</f>
        <v>40800</v>
      </c>
    </row>
    <row r="47" customFormat="false" ht="15" hidden="false" customHeight="false" outlineLevel="0" collapsed="false">
      <c r="A47" s="10" t="s">
        <v>306</v>
      </c>
      <c r="B47" s="10" t="s">
        <v>307</v>
      </c>
      <c r="C47" s="10" t="s">
        <v>128</v>
      </c>
      <c r="D47" s="10" t="s">
        <v>120</v>
      </c>
      <c r="E47" s="10" t="s">
        <v>170</v>
      </c>
      <c r="F47" s="10" t="s">
        <v>171</v>
      </c>
      <c r="G47" s="10" t="s">
        <v>92</v>
      </c>
      <c r="H47" s="10" t="s">
        <v>71</v>
      </c>
      <c r="I47" s="12" t="n">
        <v>2500</v>
      </c>
      <c r="J47" s="12" t="n">
        <v>1377</v>
      </c>
      <c r="K47" s="13" t="n">
        <f aca="false">IF(I47&gt;0,(I47-J47)/I47,"-")</f>
        <v>0.4492</v>
      </c>
      <c r="L47" s="10" t="s">
        <v>300</v>
      </c>
      <c r="M47" s="10" t="s">
        <v>92</v>
      </c>
      <c r="N47" s="12"/>
      <c r="O47" s="10" t="s">
        <v>92</v>
      </c>
      <c r="P47" s="14"/>
      <c r="Q47" s="10" t="s">
        <v>301</v>
      </c>
      <c r="R47" s="10" t="s">
        <v>308</v>
      </c>
      <c r="S47" s="14" t="n">
        <v>85</v>
      </c>
      <c r="T47" s="12" t="n">
        <f aca="false">S47*J47</f>
        <v>117045</v>
      </c>
    </row>
    <row r="48" customFormat="false" ht="15" hidden="false" customHeight="false" outlineLevel="0" collapsed="false">
      <c r="A48" s="10" t="s">
        <v>309</v>
      </c>
      <c r="B48" s="10" t="s">
        <v>310</v>
      </c>
      <c r="C48" s="10" t="s">
        <v>124</v>
      </c>
      <c r="D48" s="10" t="s">
        <v>120</v>
      </c>
      <c r="E48" s="10" t="s">
        <v>170</v>
      </c>
      <c r="F48" s="10" t="s">
        <v>171</v>
      </c>
      <c r="G48" s="10" t="s">
        <v>92</v>
      </c>
      <c r="H48" s="10" t="s">
        <v>71</v>
      </c>
      <c r="I48" s="12" t="n">
        <v>580</v>
      </c>
      <c r="J48" s="12" t="n">
        <v>451</v>
      </c>
      <c r="K48" s="13" t="n">
        <f aca="false">IF(I48&gt;0,(I48-J48)/I48,"-")</f>
        <v>0.222413793103448</v>
      </c>
      <c r="L48" s="10" t="s">
        <v>300</v>
      </c>
      <c r="M48" s="10" t="s">
        <v>92</v>
      </c>
      <c r="N48" s="12"/>
      <c r="O48" s="10" t="s">
        <v>92</v>
      </c>
      <c r="P48" s="14"/>
      <c r="Q48" s="10" t="s">
        <v>171</v>
      </c>
      <c r="R48" s="10" t="s">
        <v>311</v>
      </c>
      <c r="S48" s="14" t="n">
        <v>300</v>
      </c>
      <c r="T48" s="12" t="n">
        <f aca="false">S48*J48</f>
        <v>135300</v>
      </c>
    </row>
    <row r="49" customFormat="false" ht="15" hidden="false" customHeight="false" outlineLevel="0" collapsed="false">
      <c r="A49" s="10" t="s">
        <v>312</v>
      </c>
      <c r="B49" s="10" t="s">
        <v>313</v>
      </c>
      <c r="C49" s="10" t="s">
        <v>124</v>
      </c>
      <c r="D49" s="10" t="s">
        <v>120</v>
      </c>
      <c r="E49" s="10" t="s">
        <v>170</v>
      </c>
      <c r="F49" s="10" t="s">
        <v>171</v>
      </c>
      <c r="G49" s="10" t="s">
        <v>92</v>
      </c>
      <c r="H49" s="10" t="s">
        <v>71</v>
      </c>
      <c r="I49" s="12" t="n">
        <v>420</v>
      </c>
      <c r="J49" s="12" t="n">
        <v>170.67</v>
      </c>
      <c r="K49" s="13" t="n">
        <f aca="false">IF(I49&gt;0,(I49-J49)/I49,"-")</f>
        <v>0.593642857142857</v>
      </c>
      <c r="L49" s="10" t="s">
        <v>300</v>
      </c>
      <c r="M49" s="10" t="s">
        <v>92</v>
      </c>
      <c r="N49" s="12"/>
      <c r="O49" s="10" t="s">
        <v>92</v>
      </c>
      <c r="P49" s="14"/>
      <c r="Q49" s="10" t="s">
        <v>171</v>
      </c>
      <c r="R49" s="10" t="s">
        <v>314</v>
      </c>
      <c r="S49" s="14" t="n">
        <v>450</v>
      </c>
      <c r="T49" s="12" t="n">
        <f aca="false">S49*J49</f>
        <v>76801.5</v>
      </c>
    </row>
    <row r="50" customFormat="false" ht="15" hidden="false" customHeight="false" outlineLevel="0" collapsed="false">
      <c r="A50" s="10" t="s">
        <v>315</v>
      </c>
      <c r="B50" s="10" t="s">
        <v>316</v>
      </c>
      <c r="C50" s="10" t="s">
        <v>129</v>
      </c>
      <c r="D50" s="10" t="s">
        <v>120</v>
      </c>
      <c r="E50" s="10" t="s">
        <v>170</v>
      </c>
      <c r="F50" s="10" t="s">
        <v>171</v>
      </c>
      <c r="G50" s="10" t="s">
        <v>92</v>
      </c>
      <c r="H50" s="10" t="s">
        <v>71</v>
      </c>
      <c r="I50" s="12" t="n">
        <v>950</v>
      </c>
      <c r="J50" s="12" t="n">
        <v>358</v>
      </c>
      <c r="K50" s="13" t="n">
        <f aca="false">IF(I50&gt;0,(I50-J50)/I50,"-")</f>
        <v>0.623157894736842</v>
      </c>
      <c r="L50" s="10" t="s">
        <v>300</v>
      </c>
      <c r="M50" s="10" t="s">
        <v>92</v>
      </c>
      <c r="N50" s="12"/>
      <c r="O50" s="10" t="s">
        <v>92</v>
      </c>
      <c r="P50" s="14"/>
      <c r="Q50" s="10" t="s">
        <v>171</v>
      </c>
      <c r="R50" s="10" t="s">
        <v>317</v>
      </c>
      <c r="S50" s="14" t="n">
        <v>180</v>
      </c>
      <c r="T50" s="12" t="n">
        <f aca="false">S50*J50</f>
        <v>64440</v>
      </c>
    </row>
    <row r="51" customFormat="false" ht="15" hidden="false" customHeight="false" outlineLevel="0" collapsed="false">
      <c r="A51" s="10" t="s">
        <v>318</v>
      </c>
      <c r="B51" s="10" t="s">
        <v>319</v>
      </c>
      <c r="C51" s="10" t="s">
        <v>126</v>
      </c>
      <c r="D51" s="10" t="s">
        <v>120</v>
      </c>
      <c r="E51" s="10" t="s">
        <v>170</v>
      </c>
      <c r="F51" s="10" t="s">
        <v>171</v>
      </c>
      <c r="G51" s="10" t="s">
        <v>92</v>
      </c>
      <c r="H51" s="10" t="s">
        <v>71</v>
      </c>
      <c r="I51" s="12" t="n">
        <v>1100</v>
      </c>
      <c r="J51" s="12" t="n">
        <v>401.75</v>
      </c>
      <c r="K51" s="13" t="n">
        <f aca="false">IF(I51&gt;0,(I51-J51)/I51,"-")</f>
        <v>0.634772727272727</v>
      </c>
      <c r="L51" s="10" t="s">
        <v>300</v>
      </c>
      <c r="M51" s="10" t="s">
        <v>92</v>
      </c>
      <c r="N51" s="12"/>
      <c r="O51" s="10" t="s">
        <v>92</v>
      </c>
      <c r="P51" s="14"/>
      <c r="Q51" s="10" t="s">
        <v>301</v>
      </c>
      <c r="R51" s="10" t="s">
        <v>320</v>
      </c>
      <c r="S51" s="14" t="n">
        <v>140</v>
      </c>
      <c r="T51" s="12" t="n">
        <f aca="false">S51*J51</f>
        <v>56245</v>
      </c>
    </row>
    <row r="52" customFormat="false" ht="15" hidden="false" customHeight="false" outlineLevel="0" collapsed="false">
      <c r="A52" s="10" t="s">
        <v>321</v>
      </c>
      <c r="B52" s="10" t="s">
        <v>322</v>
      </c>
      <c r="C52" s="10" t="s">
        <v>125</v>
      </c>
      <c r="D52" s="10" t="s">
        <v>120</v>
      </c>
      <c r="E52" s="10" t="s">
        <v>170</v>
      </c>
      <c r="F52" s="10" t="s">
        <v>171</v>
      </c>
      <c r="G52" s="10" t="s">
        <v>92</v>
      </c>
      <c r="H52" s="10" t="s">
        <v>71</v>
      </c>
      <c r="I52" s="12" t="n">
        <v>1450</v>
      </c>
      <c r="J52" s="12" t="n">
        <v>1071</v>
      </c>
      <c r="K52" s="13" t="n">
        <f aca="false">IF(I52&gt;0,(I52-J52)/I52,"-")</f>
        <v>0.261379310344828</v>
      </c>
      <c r="L52" s="10" t="s">
        <v>300</v>
      </c>
      <c r="M52" s="10" t="s">
        <v>92</v>
      </c>
      <c r="N52" s="12"/>
      <c r="O52" s="10" t="s">
        <v>92</v>
      </c>
      <c r="P52" s="14"/>
      <c r="Q52" s="10" t="s">
        <v>301</v>
      </c>
      <c r="R52" s="10" t="s">
        <v>323</v>
      </c>
      <c r="S52" s="14" t="n">
        <v>95</v>
      </c>
      <c r="T52" s="12" t="n">
        <f aca="false">S52*J52</f>
        <v>101745</v>
      </c>
    </row>
    <row r="53" customFormat="false" ht="15" hidden="false" customHeight="false" outlineLevel="0" collapsed="false">
      <c r="A53" s="10" t="s">
        <v>324</v>
      </c>
      <c r="B53" s="10" t="s">
        <v>325</v>
      </c>
      <c r="C53" s="10" t="s">
        <v>128</v>
      </c>
      <c r="D53" s="10" t="s">
        <v>120</v>
      </c>
      <c r="E53" s="10" t="s">
        <v>170</v>
      </c>
      <c r="F53" s="10" t="s">
        <v>171</v>
      </c>
      <c r="G53" s="10" t="s">
        <v>92</v>
      </c>
      <c r="H53" s="10" t="s">
        <v>71</v>
      </c>
      <c r="I53" s="12" t="n">
        <v>1250</v>
      </c>
      <c r="J53" s="12" t="n">
        <v>630</v>
      </c>
      <c r="K53" s="13" t="n">
        <f aca="false">IF(I53&gt;0,(I53-J53)/I53,"-")</f>
        <v>0.496</v>
      </c>
      <c r="L53" s="10" t="s">
        <v>300</v>
      </c>
      <c r="M53" s="10" t="s">
        <v>92</v>
      </c>
      <c r="N53" s="12"/>
      <c r="O53" s="10" t="s">
        <v>92</v>
      </c>
      <c r="P53" s="14"/>
      <c r="Q53" s="10" t="s">
        <v>301</v>
      </c>
      <c r="R53" s="10" t="s">
        <v>326</v>
      </c>
      <c r="S53" s="14" t="n">
        <v>110</v>
      </c>
      <c r="T53" s="12" t="n">
        <f aca="false">S53*J53</f>
        <v>69300</v>
      </c>
    </row>
    <row r="54" customFormat="false" ht="15" hidden="false" customHeight="false" outlineLevel="0" collapsed="false">
      <c r="A54" s="10" t="s">
        <v>327</v>
      </c>
      <c r="B54" s="10" t="s">
        <v>328</v>
      </c>
      <c r="C54" s="10" t="s">
        <v>125</v>
      </c>
      <c r="D54" s="10" t="s">
        <v>120</v>
      </c>
      <c r="E54" s="10" t="s">
        <v>170</v>
      </c>
      <c r="F54" s="10" t="s">
        <v>171</v>
      </c>
      <c r="G54" s="10" t="s">
        <v>92</v>
      </c>
      <c r="H54" s="10" t="s">
        <v>71</v>
      </c>
      <c r="I54" s="12" t="n">
        <v>480</v>
      </c>
      <c r="J54" s="12" t="n">
        <v>234</v>
      </c>
      <c r="K54" s="13" t="n">
        <f aca="false">IF(I54&gt;0,(I54-J54)/I54,"-")</f>
        <v>0.5125</v>
      </c>
      <c r="L54" s="10" t="s">
        <v>300</v>
      </c>
      <c r="M54" s="10" t="s">
        <v>92</v>
      </c>
      <c r="N54" s="12"/>
      <c r="O54" s="10" t="s">
        <v>92</v>
      </c>
      <c r="P54" s="14"/>
      <c r="Q54" s="10" t="s">
        <v>301</v>
      </c>
      <c r="R54" s="10" t="s">
        <v>329</v>
      </c>
      <c r="S54" s="14" t="n">
        <v>250</v>
      </c>
      <c r="T54" s="12" t="n">
        <f aca="false">S54*J54</f>
        <v>58500</v>
      </c>
    </row>
    <row r="55" customFormat="false" ht="15" hidden="false" customHeight="false" outlineLevel="0" collapsed="false">
      <c r="A55" s="10" t="s">
        <v>330</v>
      </c>
      <c r="B55" s="10" t="s">
        <v>331</v>
      </c>
      <c r="C55" s="10" t="s">
        <v>130</v>
      </c>
      <c r="D55" s="10" t="s">
        <v>120</v>
      </c>
      <c r="E55" s="10" t="s">
        <v>170</v>
      </c>
      <c r="F55" s="10" t="s">
        <v>171</v>
      </c>
      <c r="G55" s="10" t="s">
        <v>172</v>
      </c>
      <c r="H55" s="10" t="s">
        <v>71</v>
      </c>
      <c r="I55" s="12" t="n">
        <v>2250</v>
      </c>
      <c r="J55" s="12" t="n">
        <v>1733.25</v>
      </c>
      <c r="K55" s="13" t="n">
        <f aca="false">IF(I55&gt;0,(I55-J55)/I55,"-")</f>
        <v>0.229666666666667</v>
      </c>
      <c r="L55" s="10" t="s">
        <v>300</v>
      </c>
      <c r="M55" s="10" t="s">
        <v>92</v>
      </c>
      <c r="N55" s="12"/>
      <c r="O55" s="10" t="s">
        <v>92</v>
      </c>
      <c r="P55" s="14"/>
      <c r="Q55" s="10" t="s">
        <v>171</v>
      </c>
      <c r="R55" s="10" t="s">
        <v>332</v>
      </c>
      <c r="S55" s="14" t="n">
        <v>60</v>
      </c>
      <c r="T55" s="12" t="n">
        <f aca="false">S55*J55</f>
        <v>103995</v>
      </c>
    </row>
    <row r="56" customFormat="false" ht="15" hidden="false" customHeight="false" outlineLevel="0" collapsed="false">
      <c r="A56" s="10" t="s">
        <v>333</v>
      </c>
      <c r="B56" s="10" t="s">
        <v>334</v>
      </c>
      <c r="C56" s="10" t="s">
        <v>134</v>
      </c>
      <c r="D56" s="10" t="s">
        <v>335</v>
      </c>
      <c r="E56" s="10" t="s">
        <v>170</v>
      </c>
      <c r="F56" s="10" t="s">
        <v>171</v>
      </c>
      <c r="G56" s="10" t="s">
        <v>92</v>
      </c>
      <c r="H56" s="10" t="s">
        <v>71</v>
      </c>
      <c r="I56" s="12" t="n">
        <v>0</v>
      </c>
      <c r="J56" s="12" t="n">
        <v>66</v>
      </c>
      <c r="K56" s="13" t="str">
        <f aca="false">IF(I56&gt;0,(I56-J56)/I56,"-")</f>
        <v>-</v>
      </c>
      <c r="L56" s="10" t="s">
        <v>173</v>
      </c>
      <c r="M56" s="10" t="s">
        <v>336</v>
      </c>
      <c r="N56" s="12" t="n">
        <v>1.2</v>
      </c>
      <c r="O56" s="10" t="s">
        <v>226</v>
      </c>
      <c r="P56" s="14" t="n">
        <v>45</v>
      </c>
      <c r="Q56" s="10" t="s">
        <v>301</v>
      </c>
      <c r="R56" s="10" t="s">
        <v>92</v>
      </c>
      <c r="S56" s="14" t="n">
        <v>600</v>
      </c>
      <c r="T56" s="12" t="n">
        <f aca="false">S56*J56</f>
        <v>39600</v>
      </c>
    </row>
    <row r="57" customFormat="false" ht="15" hidden="false" customHeight="false" outlineLevel="0" collapsed="false">
      <c r="A57" s="10" t="s">
        <v>337</v>
      </c>
      <c r="B57" s="10" t="s">
        <v>338</v>
      </c>
      <c r="C57" s="10" t="s">
        <v>134</v>
      </c>
      <c r="D57" s="10" t="s">
        <v>335</v>
      </c>
      <c r="E57" s="10" t="s">
        <v>170</v>
      </c>
      <c r="F57" s="10" t="s">
        <v>171</v>
      </c>
      <c r="G57" s="10" t="s">
        <v>92</v>
      </c>
      <c r="H57" s="10" t="s">
        <v>71</v>
      </c>
      <c r="I57" s="12" t="n">
        <v>0</v>
      </c>
      <c r="J57" s="12" t="n">
        <v>192.5</v>
      </c>
      <c r="K57" s="13" t="str">
        <f aca="false">IF(I57&gt;0,(I57-J57)/I57,"-")</f>
        <v>-</v>
      </c>
      <c r="L57" s="10" t="s">
        <v>173</v>
      </c>
      <c r="M57" s="10" t="s">
        <v>336</v>
      </c>
      <c r="N57" s="12" t="n">
        <v>3.5</v>
      </c>
      <c r="O57" s="10" t="s">
        <v>226</v>
      </c>
      <c r="P57" s="14" t="n">
        <v>45</v>
      </c>
      <c r="Q57" s="10" t="s">
        <v>301</v>
      </c>
      <c r="R57" s="10" t="s">
        <v>92</v>
      </c>
      <c r="S57" s="14" t="n">
        <v>300</v>
      </c>
      <c r="T57" s="12" t="n">
        <f aca="false">S57*J57</f>
        <v>57750</v>
      </c>
    </row>
    <row r="58" customFormat="false" ht="15" hidden="false" customHeight="false" outlineLevel="0" collapsed="false">
      <c r="A58" s="10" t="s">
        <v>339</v>
      </c>
      <c r="B58" s="10" t="s">
        <v>340</v>
      </c>
      <c r="C58" s="10" t="s">
        <v>134</v>
      </c>
      <c r="D58" s="10" t="s">
        <v>335</v>
      </c>
      <c r="E58" s="10" t="s">
        <v>170</v>
      </c>
      <c r="F58" s="10" t="s">
        <v>171</v>
      </c>
      <c r="G58" s="10" t="s">
        <v>92</v>
      </c>
      <c r="H58" s="10" t="s">
        <v>71</v>
      </c>
      <c r="I58" s="12" t="n">
        <v>0</v>
      </c>
      <c r="J58" s="12" t="n">
        <v>374</v>
      </c>
      <c r="K58" s="13" t="str">
        <f aca="false">IF(I58&gt;0,(I58-J58)/I58,"-")</f>
        <v>-</v>
      </c>
      <c r="L58" s="10" t="s">
        <v>173</v>
      </c>
      <c r="M58" s="10" t="s">
        <v>336</v>
      </c>
      <c r="N58" s="12" t="n">
        <v>6.8</v>
      </c>
      <c r="O58" s="10" t="s">
        <v>226</v>
      </c>
      <c r="P58" s="14" t="n">
        <v>45</v>
      </c>
      <c r="Q58" s="10" t="s">
        <v>301</v>
      </c>
      <c r="R58" s="10" t="s">
        <v>92</v>
      </c>
      <c r="S58" s="14" t="n">
        <v>200</v>
      </c>
      <c r="T58" s="12" t="n">
        <f aca="false">S58*J58</f>
        <v>74800</v>
      </c>
    </row>
    <row r="59" customFormat="false" ht="15" hidden="false" customHeight="false" outlineLevel="0" collapsed="false">
      <c r="A59" s="10" t="s">
        <v>341</v>
      </c>
      <c r="B59" s="10" t="s">
        <v>342</v>
      </c>
      <c r="C59" s="10" t="s">
        <v>134</v>
      </c>
      <c r="D59" s="10" t="s">
        <v>335</v>
      </c>
      <c r="E59" s="10" t="s">
        <v>170</v>
      </c>
      <c r="F59" s="10" t="s">
        <v>171</v>
      </c>
      <c r="G59" s="10" t="s">
        <v>92</v>
      </c>
      <c r="H59" s="10" t="s">
        <v>71</v>
      </c>
      <c r="I59" s="12" t="n">
        <v>0</v>
      </c>
      <c r="J59" s="12" t="n">
        <v>49.5</v>
      </c>
      <c r="K59" s="13" t="str">
        <f aca="false">IF(I59&gt;0,(I59-J59)/I59,"-")</f>
        <v>-</v>
      </c>
      <c r="L59" s="10" t="s">
        <v>173</v>
      </c>
      <c r="M59" s="10" t="s">
        <v>336</v>
      </c>
      <c r="N59" s="12" t="n">
        <v>0.9</v>
      </c>
      <c r="O59" s="10" t="s">
        <v>226</v>
      </c>
      <c r="P59" s="14" t="n">
        <v>45</v>
      </c>
      <c r="Q59" s="10" t="s">
        <v>301</v>
      </c>
      <c r="R59" s="10" t="s">
        <v>92</v>
      </c>
      <c r="S59" s="14" t="n">
        <v>800</v>
      </c>
      <c r="T59" s="12" t="n">
        <f aca="false">S59*J59</f>
        <v>39600</v>
      </c>
    </row>
    <row r="60" customFormat="false" ht="15" hidden="false" customHeight="false" outlineLevel="0" collapsed="false">
      <c r="A60" s="10" t="s">
        <v>343</v>
      </c>
      <c r="B60" s="10" t="s">
        <v>344</v>
      </c>
      <c r="C60" s="10" t="s">
        <v>134</v>
      </c>
      <c r="D60" s="10" t="s">
        <v>335</v>
      </c>
      <c r="E60" s="10" t="s">
        <v>170</v>
      </c>
      <c r="F60" s="10" t="s">
        <v>171</v>
      </c>
      <c r="G60" s="10" t="s">
        <v>92</v>
      </c>
      <c r="H60" s="10" t="s">
        <v>71</v>
      </c>
      <c r="I60" s="12" t="n">
        <v>0</v>
      </c>
      <c r="J60" s="12" t="n">
        <v>88</v>
      </c>
      <c r="K60" s="13" t="str">
        <f aca="false">IF(I60&gt;0,(I60-J60)/I60,"-")</f>
        <v>-</v>
      </c>
      <c r="L60" s="10" t="s">
        <v>173</v>
      </c>
      <c r="M60" s="10" t="s">
        <v>336</v>
      </c>
      <c r="N60" s="12" t="n">
        <v>1.6</v>
      </c>
      <c r="O60" s="10" t="s">
        <v>226</v>
      </c>
      <c r="P60" s="14" t="n">
        <v>45</v>
      </c>
      <c r="Q60" s="10" t="s">
        <v>301</v>
      </c>
      <c r="R60" s="10" t="s">
        <v>92</v>
      </c>
      <c r="S60" s="14" t="n">
        <v>300</v>
      </c>
      <c r="T60" s="12" t="n">
        <f aca="false">S60*J60</f>
        <v>26400</v>
      </c>
    </row>
    <row r="61" customFormat="false" ht="15" hidden="false" customHeight="false" outlineLevel="0" collapsed="false">
      <c r="A61" s="10" t="s">
        <v>345</v>
      </c>
      <c r="B61" s="10" t="s">
        <v>346</v>
      </c>
      <c r="C61" s="10" t="s">
        <v>134</v>
      </c>
      <c r="D61" s="10" t="s">
        <v>335</v>
      </c>
      <c r="E61" s="10" t="s">
        <v>170</v>
      </c>
      <c r="F61" s="10" t="s">
        <v>171</v>
      </c>
      <c r="G61" s="10" t="s">
        <v>92</v>
      </c>
      <c r="H61" s="10" t="s">
        <v>71</v>
      </c>
      <c r="I61" s="12" t="n">
        <v>0</v>
      </c>
      <c r="J61" s="12" t="n">
        <v>19.25</v>
      </c>
      <c r="K61" s="13" t="str">
        <f aca="false">IF(I61&gt;0,(I61-J61)/I61,"-")</f>
        <v>-</v>
      </c>
      <c r="L61" s="10" t="s">
        <v>173</v>
      </c>
      <c r="M61" s="10" t="s">
        <v>336</v>
      </c>
      <c r="N61" s="12" t="n">
        <v>0.35</v>
      </c>
      <c r="O61" s="10" t="s">
        <v>226</v>
      </c>
      <c r="P61" s="14" t="n">
        <v>45</v>
      </c>
      <c r="Q61" s="10" t="s">
        <v>301</v>
      </c>
      <c r="R61" s="10" t="s">
        <v>92</v>
      </c>
      <c r="S61" s="14" t="n">
        <v>500</v>
      </c>
      <c r="T61" s="12" t="n">
        <f aca="false">S61*J61</f>
        <v>9625</v>
      </c>
    </row>
    <row r="62" customFormat="false" ht="15" hidden="false" customHeight="false" outlineLevel="0" collapsed="false">
      <c r="A62" s="10" t="s">
        <v>347</v>
      </c>
      <c r="B62" s="10" t="s">
        <v>348</v>
      </c>
      <c r="C62" s="10" t="s">
        <v>134</v>
      </c>
      <c r="D62" s="10" t="s">
        <v>335</v>
      </c>
      <c r="E62" s="10" t="s">
        <v>170</v>
      </c>
      <c r="F62" s="10" t="s">
        <v>171</v>
      </c>
      <c r="G62" s="10" t="s">
        <v>92</v>
      </c>
      <c r="H62" s="10" t="s">
        <v>71</v>
      </c>
      <c r="I62" s="12" t="n">
        <v>0</v>
      </c>
      <c r="J62" s="12" t="n">
        <v>44</v>
      </c>
      <c r="K62" s="13" t="str">
        <f aca="false">IF(I62&gt;0,(I62-J62)/I62,"-")</f>
        <v>-</v>
      </c>
      <c r="L62" s="10" t="s">
        <v>173</v>
      </c>
      <c r="M62" s="10" t="s">
        <v>336</v>
      </c>
      <c r="N62" s="12" t="n">
        <v>0.8</v>
      </c>
      <c r="O62" s="10" t="s">
        <v>226</v>
      </c>
      <c r="P62" s="14" t="n">
        <v>45</v>
      </c>
      <c r="Q62" s="10" t="s">
        <v>301</v>
      </c>
      <c r="R62" s="10" t="s">
        <v>92</v>
      </c>
      <c r="S62" s="14" t="n">
        <v>300</v>
      </c>
      <c r="T62" s="12" t="n">
        <f aca="false">S62*J62</f>
        <v>13200</v>
      </c>
    </row>
    <row r="63" customFormat="false" ht="15" hidden="false" customHeight="false" outlineLevel="0" collapsed="false">
      <c r="A63" s="10" t="s">
        <v>349</v>
      </c>
      <c r="B63" s="10" t="s">
        <v>350</v>
      </c>
      <c r="C63" s="10" t="s">
        <v>135</v>
      </c>
      <c r="D63" s="10" t="s">
        <v>335</v>
      </c>
      <c r="E63" s="10" t="s">
        <v>170</v>
      </c>
      <c r="F63" s="10" t="s">
        <v>171</v>
      </c>
      <c r="G63" s="10" t="s">
        <v>92</v>
      </c>
      <c r="H63" s="10" t="s">
        <v>71</v>
      </c>
      <c r="I63" s="12" t="n">
        <v>0</v>
      </c>
      <c r="J63" s="12" t="n">
        <v>522.5</v>
      </c>
      <c r="K63" s="13" t="str">
        <f aca="false">IF(I63&gt;0,(I63-J63)/I63,"-")</f>
        <v>-</v>
      </c>
      <c r="L63" s="10" t="s">
        <v>173</v>
      </c>
      <c r="M63" s="10" t="s">
        <v>351</v>
      </c>
      <c r="N63" s="12" t="n">
        <v>9.5</v>
      </c>
      <c r="O63" s="10" t="s">
        <v>226</v>
      </c>
      <c r="P63" s="14" t="n">
        <v>50</v>
      </c>
      <c r="Q63" s="10" t="s">
        <v>301</v>
      </c>
      <c r="R63" s="10" t="s">
        <v>92</v>
      </c>
      <c r="S63" s="14" t="n">
        <v>200</v>
      </c>
      <c r="T63" s="12" t="n">
        <f aca="false">S63*J63</f>
        <v>104500</v>
      </c>
    </row>
    <row r="64" customFormat="false" ht="15" hidden="false" customHeight="false" outlineLevel="0" collapsed="false">
      <c r="A64" s="10" t="s">
        <v>352</v>
      </c>
      <c r="B64" s="10" t="s">
        <v>353</v>
      </c>
      <c r="C64" s="10" t="s">
        <v>135</v>
      </c>
      <c r="D64" s="10" t="s">
        <v>335</v>
      </c>
      <c r="E64" s="10" t="s">
        <v>170</v>
      </c>
      <c r="F64" s="10" t="s">
        <v>171</v>
      </c>
      <c r="G64" s="10" t="s">
        <v>92</v>
      </c>
      <c r="H64" s="10" t="s">
        <v>71</v>
      </c>
      <c r="I64" s="12" t="n">
        <v>0</v>
      </c>
      <c r="J64" s="12" t="n">
        <v>77</v>
      </c>
      <c r="K64" s="13" t="str">
        <f aca="false">IF(I64&gt;0,(I64-J64)/I64,"-")</f>
        <v>-</v>
      </c>
      <c r="L64" s="10" t="s">
        <v>173</v>
      </c>
      <c r="M64" s="10" t="s">
        <v>351</v>
      </c>
      <c r="N64" s="12" t="n">
        <v>1.4</v>
      </c>
      <c r="O64" s="10" t="s">
        <v>226</v>
      </c>
      <c r="P64" s="14" t="n">
        <v>50</v>
      </c>
      <c r="Q64" s="10" t="s">
        <v>301</v>
      </c>
      <c r="R64" s="10" t="s">
        <v>92</v>
      </c>
      <c r="S64" s="14" t="n">
        <v>200</v>
      </c>
      <c r="T64" s="12" t="n">
        <f aca="false">S64*J64</f>
        <v>15400</v>
      </c>
    </row>
    <row r="65" customFormat="false" ht="15" hidden="false" customHeight="false" outlineLevel="0" collapsed="false">
      <c r="A65" s="10" t="s">
        <v>354</v>
      </c>
      <c r="B65" s="10" t="s">
        <v>355</v>
      </c>
      <c r="C65" s="10" t="s">
        <v>135</v>
      </c>
      <c r="D65" s="10" t="s">
        <v>335</v>
      </c>
      <c r="E65" s="10" t="s">
        <v>170</v>
      </c>
      <c r="F65" s="10" t="s">
        <v>171</v>
      </c>
      <c r="G65" s="10" t="s">
        <v>92</v>
      </c>
      <c r="H65" s="10" t="s">
        <v>71</v>
      </c>
      <c r="I65" s="12" t="n">
        <v>0</v>
      </c>
      <c r="J65" s="12" t="n">
        <v>115.5</v>
      </c>
      <c r="K65" s="13" t="str">
        <f aca="false">IF(I65&gt;0,(I65-J65)/I65,"-")</f>
        <v>-</v>
      </c>
      <c r="L65" s="10" t="s">
        <v>173</v>
      </c>
      <c r="M65" s="10" t="s">
        <v>351</v>
      </c>
      <c r="N65" s="12" t="n">
        <v>2.1</v>
      </c>
      <c r="O65" s="10" t="s">
        <v>226</v>
      </c>
      <c r="P65" s="14" t="n">
        <v>50</v>
      </c>
      <c r="Q65" s="10" t="s">
        <v>301</v>
      </c>
      <c r="R65" s="10" t="s">
        <v>92</v>
      </c>
      <c r="S65" s="14" t="n">
        <v>200</v>
      </c>
      <c r="T65" s="12" t="n">
        <f aca="false">S65*J65</f>
        <v>23100</v>
      </c>
    </row>
    <row r="66" customFormat="false" ht="15" hidden="false" customHeight="false" outlineLevel="0" collapsed="false">
      <c r="A66" s="10" t="s">
        <v>356</v>
      </c>
      <c r="B66" s="10" t="s">
        <v>357</v>
      </c>
      <c r="C66" s="10" t="s">
        <v>135</v>
      </c>
      <c r="D66" s="10" t="s">
        <v>335</v>
      </c>
      <c r="E66" s="10" t="s">
        <v>170</v>
      </c>
      <c r="F66" s="10" t="s">
        <v>171</v>
      </c>
      <c r="G66" s="10" t="s">
        <v>92</v>
      </c>
      <c r="H66" s="10" t="s">
        <v>71</v>
      </c>
      <c r="I66" s="12" t="n">
        <v>0</v>
      </c>
      <c r="J66" s="12" t="n">
        <v>71.5</v>
      </c>
      <c r="K66" s="13" t="str">
        <f aca="false">IF(I66&gt;0,(I66-J66)/I66,"-")</f>
        <v>-</v>
      </c>
      <c r="L66" s="10" t="s">
        <v>173</v>
      </c>
      <c r="M66" s="10" t="s">
        <v>351</v>
      </c>
      <c r="N66" s="12" t="n">
        <v>1.3</v>
      </c>
      <c r="O66" s="10" t="s">
        <v>226</v>
      </c>
      <c r="P66" s="14" t="n">
        <v>50</v>
      </c>
      <c r="Q66" s="10" t="s">
        <v>301</v>
      </c>
      <c r="R66" s="10" t="s">
        <v>92</v>
      </c>
      <c r="S66" s="14" t="n">
        <v>200</v>
      </c>
      <c r="T66" s="12" t="n">
        <f aca="false">S66*J66</f>
        <v>14300</v>
      </c>
    </row>
    <row r="67" customFormat="false" ht="15" hidden="false" customHeight="false" outlineLevel="0" collapsed="false">
      <c r="A67" s="10" t="s">
        <v>358</v>
      </c>
      <c r="B67" s="10" t="s">
        <v>359</v>
      </c>
      <c r="C67" s="10" t="s">
        <v>136</v>
      </c>
      <c r="D67" s="10" t="s">
        <v>335</v>
      </c>
      <c r="E67" s="10" t="s">
        <v>170</v>
      </c>
      <c r="F67" s="10" t="s">
        <v>171</v>
      </c>
      <c r="G67" s="10" t="s">
        <v>92</v>
      </c>
      <c r="H67" s="10" t="s">
        <v>73</v>
      </c>
      <c r="I67" s="12" t="n">
        <v>0</v>
      </c>
      <c r="J67" s="12" t="n">
        <v>70</v>
      </c>
      <c r="K67" s="13" t="str">
        <f aca="false">IF(I67&gt;0,(I67-J67)/I67,"-")</f>
        <v>-</v>
      </c>
      <c r="L67" s="10" t="s">
        <v>173</v>
      </c>
      <c r="M67" s="10" t="s">
        <v>360</v>
      </c>
      <c r="N67" s="12" t="n">
        <v>70</v>
      </c>
      <c r="O67" s="10" t="s">
        <v>175</v>
      </c>
      <c r="P67" s="14" t="n">
        <v>7</v>
      </c>
      <c r="Q67" s="10" t="s">
        <v>301</v>
      </c>
      <c r="R67" s="10" t="s">
        <v>92</v>
      </c>
      <c r="S67" s="14" t="n">
        <v>2500</v>
      </c>
      <c r="T67" s="12" t="n">
        <f aca="false">S67*J67</f>
        <v>175000</v>
      </c>
    </row>
    <row r="68" customFormat="false" ht="15" hidden="false" customHeight="false" outlineLevel="0" collapsed="false">
      <c r="A68" s="10" t="s">
        <v>361</v>
      </c>
      <c r="B68" s="10" t="s">
        <v>362</v>
      </c>
      <c r="C68" s="10" t="s">
        <v>136</v>
      </c>
      <c r="D68" s="10" t="s">
        <v>335</v>
      </c>
      <c r="E68" s="10" t="s">
        <v>170</v>
      </c>
      <c r="F68" s="10" t="s">
        <v>171</v>
      </c>
      <c r="G68" s="10" t="s">
        <v>92</v>
      </c>
      <c r="H68" s="10" t="s">
        <v>73</v>
      </c>
      <c r="I68" s="12" t="n">
        <v>0</v>
      </c>
      <c r="J68" s="12" t="n">
        <v>180</v>
      </c>
      <c r="K68" s="13" t="str">
        <f aca="false">IF(I68&gt;0,(I68-J68)/I68,"-")</f>
        <v>-</v>
      </c>
      <c r="L68" s="10" t="s">
        <v>173</v>
      </c>
      <c r="M68" s="10" t="s">
        <v>360</v>
      </c>
      <c r="N68" s="12" t="n">
        <v>180</v>
      </c>
      <c r="O68" s="10" t="s">
        <v>175</v>
      </c>
      <c r="P68" s="14" t="n">
        <v>7</v>
      </c>
      <c r="Q68" s="10" t="s">
        <v>301</v>
      </c>
      <c r="R68" s="10" t="s">
        <v>92</v>
      </c>
      <c r="S68" s="14" t="n">
        <v>600</v>
      </c>
      <c r="T68" s="12" t="n">
        <f aca="false">S68*J68</f>
        <v>108000</v>
      </c>
    </row>
    <row r="69" customFormat="false" ht="15" hidden="false" customHeight="false" outlineLevel="0" collapsed="false">
      <c r="A69" s="10" t="s">
        <v>363</v>
      </c>
      <c r="B69" s="10" t="s">
        <v>364</v>
      </c>
      <c r="C69" s="10" t="s">
        <v>136</v>
      </c>
      <c r="D69" s="10" t="s">
        <v>335</v>
      </c>
      <c r="E69" s="10" t="s">
        <v>170</v>
      </c>
      <c r="F69" s="10" t="s">
        <v>171</v>
      </c>
      <c r="G69" s="10" t="s">
        <v>92</v>
      </c>
      <c r="H69" s="10" t="s">
        <v>73</v>
      </c>
      <c r="I69" s="12" t="n">
        <v>0</v>
      </c>
      <c r="J69" s="12" t="n">
        <v>220</v>
      </c>
      <c r="K69" s="13" t="str">
        <f aca="false">IF(I69&gt;0,(I69-J69)/I69,"-")</f>
        <v>-</v>
      </c>
      <c r="L69" s="10" t="s">
        <v>173</v>
      </c>
      <c r="M69" s="10" t="s">
        <v>360</v>
      </c>
      <c r="N69" s="12" t="n">
        <v>220</v>
      </c>
      <c r="O69" s="10" t="s">
        <v>175</v>
      </c>
      <c r="P69" s="14" t="n">
        <v>7</v>
      </c>
      <c r="Q69" s="10" t="s">
        <v>301</v>
      </c>
      <c r="R69" s="10" t="s">
        <v>92</v>
      </c>
      <c r="S69" s="14" t="n">
        <v>300</v>
      </c>
      <c r="T69" s="12" t="n">
        <f aca="false">S69*J69</f>
        <v>66000</v>
      </c>
    </row>
    <row r="70" customFormat="false" ht="15" hidden="false" customHeight="false" outlineLevel="0" collapsed="false">
      <c r="A70" s="10" t="s">
        <v>365</v>
      </c>
      <c r="B70" s="10" t="s">
        <v>366</v>
      </c>
      <c r="C70" s="10" t="s">
        <v>136</v>
      </c>
      <c r="D70" s="10" t="s">
        <v>335</v>
      </c>
      <c r="E70" s="10" t="s">
        <v>170</v>
      </c>
      <c r="F70" s="10" t="s">
        <v>171</v>
      </c>
      <c r="G70" s="10" t="s">
        <v>92</v>
      </c>
      <c r="H70" s="10" t="s">
        <v>71</v>
      </c>
      <c r="I70" s="12" t="n">
        <v>0</v>
      </c>
      <c r="J70" s="12" t="n">
        <v>95</v>
      </c>
      <c r="K70" s="13" t="str">
        <f aca="false">IF(I70&gt;0,(I70-J70)/I70,"-")</f>
        <v>-</v>
      </c>
      <c r="L70" s="10" t="s">
        <v>173</v>
      </c>
      <c r="M70" s="10" t="s">
        <v>360</v>
      </c>
      <c r="N70" s="12" t="n">
        <v>95</v>
      </c>
      <c r="O70" s="10" t="s">
        <v>175</v>
      </c>
      <c r="P70" s="14" t="n">
        <v>7</v>
      </c>
      <c r="Q70" s="10" t="s">
        <v>301</v>
      </c>
      <c r="R70" s="10" t="s">
        <v>92</v>
      </c>
      <c r="S70" s="14" t="n">
        <v>200</v>
      </c>
      <c r="T70" s="12" t="n">
        <f aca="false">S70*J70</f>
        <v>19000</v>
      </c>
    </row>
    <row r="71" customFormat="false" ht="15" hidden="false" customHeight="false" outlineLevel="0" collapsed="false">
      <c r="A71" s="10" t="s">
        <v>367</v>
      </c>
      <c r="B71" s="10" t="s">
        <v>368</v>
      </c>
      <c r="C71" s="10" t="s">
        <v>137</v>
      </c>
      <c r="D71" s="10" t="s">
        <v>335</v>
      </c>
      <c r="E71" s="10" t="s">
        <v>170</v>
      </c>
      <c r="F71" s="10" t="s">
        <v>171</v>
      </c>
      <c r="G71" s="10" t="s">
        <v>92</v>
      </c>
      <c r="H71" s="10" t="s">
        <v>73</v>
      </c>
      <c r="I71" s="12" t="n">
        <v>0</v>
      </c>
      <c r="J71" s="12" t="n">
        <v>120</v>
      </c>
      <c r="K71" s="13" t="str">
        <f aca="false">IF(I71&gt;0,(I71-J71)/I71,"-")</f>
        <v>-</v>
      </c>
      <c r="L71" s="10" t="s">
        <v>173</v>
      </c>
      <c r="M71" s="10" t="s">
        <v>369</v>
      </c>
      <c r="N71" s="12" t="n">
        <v>120</v>
      </c>
      <c r="O71" s="10" t="s">
        <v>175</v>
      </c>
      <c r="P71" s="14" t="n">
        <v>7</v>
      </c>
      <c r="Q71" s="10" t="s">
        <v>301</v>
      </c>
      <c r="R71" s="10" t="s">
        <v>92</v>
      </c>
      <c r="S71" s="14" t="n">
        <v>800</v>
      </c>
      <c r="T71" s="12" t="n">
        <f aca="false">S71*J71</f>
        <v>96000</v>
      </c>
    </row>
    <row r="72" customFormat="false" ht="15" hidden="false" customHeight="false" outlineLevel="0" collapsed="false">
      <c r="A72" s="10" t="s">
        <v>370</v>
      </c>
      <c r="B72" s="10" t="s">
        <v>371</v>
      </c>
      <c r="C72" s="10" t="s">
        <v>137</v>
      </c>
      <c r="D72" s="10" t="s">
        <v>335</v>
      </c>
      <c r="E72" s="10" t="s">
        <v>170</v>
      </c>
      <c r="F72" s="10" t="s">
        <v>171</v>
      </c>
      <c r="G72" s="10" t="s">
        <v>92</v>
      </c>
      <c r="H72" s="10" t="s">
        <v>71</v>
      </c>
      <c r="I72" s="12" t="n">
        <v>0</v>
      </c>
      <c r="J72" s="12" t="n">
        <v>110</v>
      </c>
      <c r="K72" s="13" t="str">
        <f aca="false">IF(I72&gt;0,(I72-J72)/I72,"-")</f>
        <v>-</v>
      </c>
      <c r="L72" s="10" t="s">
        <v>173</v>
      </c>
      <c r="M72" s="10" t="s">
        <v>369</v>
      </c>
      <c r="N72" s="12" t="n">
        <v>110</v>
      </c>
      <c r="O72" s="10" t="s">
        <v>175</v>
      </c>
      <c r="P72" s="14" t="n">
        <v>7</v>
      </c>
      <c r="Q72" s="10" t="s">
        <v>301</v>
      </c>
      <c r="R72" s="10" t="s">
        <v>92</v>
      </c>
      <c r="S72" s="14" t="n">
        <v>200</v>
      </c>
      <c r="T72" s="12" t="n">
        <f aca="false">S72*J72</f>
        <v>22000</v>
      </c>
    </row>
    <row r="73" customFormat="false" ht="15" hidden="false" customHeight="false" outlineLevel="0" collapsed="false">
      <c r="A73" s="10" t="s">
        <v>372</v>
      </c>
      <c r="B73" s="10" t="s">
        <v>373</v>
      </c>
      <c r="C73" s="10" t="s">
        <v>137</v>
      </c>
      <c r="D73" s="10" t="s">
        <v>335</v>
      </c>
      <c r="E73" s="10" t="s">
        <v>170</v>
      </c>
      <c r="F73" s="10" t="s">
        <v>171</v>
      </c>
      <c r="G73" s="10" t="s">
        <v>92</v>
      </c>
      <c r="H73" s="10" t="s">
        <v>71</v>
      </c>
      <c r="I73" s="12" t="n">
        <v>0</v>
      </c>
      <c r="J73" s="12" t="n">
        <v>45</v>
      </c>
      <c r="K73" s="13" t="str">
        <f aca="false">IF(I73&gt;0,(I73-J73)/I73,"-")</f>
        <v>-</v>
      </c>
      <c r="L73" s="10" t="s">
        <v>173</v>
      </c>
      <c r="M73" s="10" t="s">
        <v>369</v>
      </c>
      <c r="N73" s="12" t="n">
        <v>45</v>
      </c>
      <c r="O73" s="10" t="s">
        <v>175</v>
      </c>
      <c r="P73" s="14" t="n">
        <v>7</v>
      </c>
      <c r="Q73" s="10" t="s">
        <v>301</v>
      </c>
      <c r="R73" s="10" t="s">
        <v>92</v>
      </c>
      <c r="S73" s="14" t="n">
        <v>300</v>
      </c>
      <c r="T73" s="12" t="n">
        <f aca="false">S73*J73</f>
        <v>13500</v>
      </c>
    </row>
    <row r="74" customFormat="false" ht="15" hidden="false" customHeight="false" outlineLevel="0" collapsed="false">
      <c r="A74" s="10" t="s">
        <v>374</v>
      </c>
      <c r="B74" s="10" t="s">
        <v>375</v>
      </c>
      <c r="C74" s="10" t="s">
        <v>137</v>
      </c>
      <c r="D74" s="10" t="s">
        <v>335</v>
      </c>
      <c r="E74" s="10" t="s">
        <v>170</v>
      </c>
      <c r="F74" s="10" t="s">
        <v>171</v>
      </c>
      <c r="G74" s="10" t="s">
        <v>92</v>
      </c>
      <c r="H74" s="10" t="s">
        <v>71</v>
      </c>
      <c r="I74" s="12" t="n">
        <v>0</v>
      </c>
      <c r="J74" s="12" t="n">
        <v>18</v>
      </c>
      <c r="K74" s="13" t="str">
        <f aca="false">IF(I74&gt;0,(I74-J74)/I74,"-")</f>
        <v>-</v>
      </c>
      <c r="L74" s="10" t="s">
        <v>173</v>
      </c>
      <c r="M74" s="10" t="s">
        <v>369</v>
      </c>
      <c r="N74" s="12" t="n">
        <v>18</v>
      </c>
      <c r="O74" s="10" t="s">
        <v>175</v>
      </c>
      <c r="P74" s="14" t="n">
        <v>7</v>
      </c>
      <c r="Q74" s="10" t="s">
        <v>301</v>
      </c>
      <c r="R74" s="10" t="s">
        <v>92</v>
      </c>
      <c r="S74" s="14" t="n">
        <v>1800</v>
      </c>
      <c r="T74" s="12" t="n">
        <f aca="false">S74*J74</f>
        <v>32400</v>
      </c>
    </row>
    <row r="75" customFormat="false" ht="15" hidden="false" customHeight="false" outlineLevel="0" collapsed="false">
      <c r="A75" s="10" t="s">
        <v>376</v>
      </c>
      <c r="B75" s="10" t="s">
        <v>377</v>
      </c>
      <c r="C75" s="10" t="s">
        <v>137</v>
      </c>
      <c r="D75" s="10" t="s">
        <v>335</v>
      </c>
      <c r="E75" s="10" t="s">
        <v>170</v>
      </c>
      <c r="F75" s="10" t="s">
        <v>171</v>
      </c>
      <c r="G75" s="10" t="s">
        <v>92</v>
      </c>
      <c r="H75" s="10" t="s">
        <v>71</v>
      </c>
      <c r="I75" s="12" t="n">
        <v>0</v>
      </c>
      <c r="J75" s="12" t="n">
        <v>60</v>
      </c>
      <c r="K75" s="13" t="str">
        <f aca="false">IF(I75&gt;0,(I75-J75)/I75,"-")</f>
        <v>-</v>
      </c>
      <c r="L75" s="10" t="s">
        <v>173</v>
      </c>
      <c r="M75" s="10" t="s">
        <v>369</v>
      </c>
      <c r="N75" s="12" t="n">
        <v>60</v>
      </c>
      <c r="O75" s="10" t="s">
        <v>175</v>
      </c>
      <c r="P75" s="14" t="n">
        <v>7</v>
      </c>
      <c r="Q75" s="10" t="s">
        <v>301</v>
      </c>
      <c r="R75" s="10" t="s">
        <v>92</v>
      </c>
      <c r="S75" s="14" t="n">
        <v>300</v>
      </c>
      <c r="T75" s="12" t="n">
        <f aca="false">S75*J75</f>
        <v>18000</v>
      </c>
    </row>
    <row r="76" customFormat="false" ht="15" hidden="false" customHeight="false" outlineLevel="0" collapsed="false">
      <c r="A76" s="10" t="s">
        <v>378</v>
      </c>
      <c r="B76" s="10" t="s">
        <v>379</v>
      </c>
      <c r="C76" s="10" t="s">
        <v>137</v>
      </c>
      <c r="D76" s="10" t="s">
        <v>335</v>
      </c>
      <c r="E76" s="10" t="s">
        <v>170</v>
      </c>
      <c r="F76" s="10" t="s">
        <v>171</v>
      </c>
      <c r="G76" s="10" t="s">
        <v>92</v>
      </c>
      <c r="H76" s="10" t="s">
        <v>71</v>
      </c>
      <c r="I76" s="12" t="n">
        <v>0</v>
      </c>
      <c r="J76" s="12" t="n">
        <v>85</v>
      </c>
      <c r="K76" s="13" t="str">
        <f aca="false">IF(I76&gt;0,(I76-J76)/I76,"-")</f>
        <v>-</v>
      </c>
      <c r="L76" s="10" t="s">
        <v>173</v>
      </c>
      <c r="M76" s="10" t="s">
        <v>369</v>
      </c>
      <c r="N76" s="12" t="n">
        <v>85</v>
      </c>
      <c r="O76" s="10" t="s">
        <v>175</v>
      </c>
      <c r="P76" s="14" t="n">
        <v>7</v>
      </c>
      <c r="Q76" s="10" t="s">
        <v>301</v>
      </c>
      <c r="R76" s="10" t="s">
        <v>92</v>
      </c>
      <c r="S76" s="14" t="n">
        <v>300</v>
      </c>
      <c r="T76" s="12" t="n">
        <f aca="false">S76*J76</f>
        <v>25500</v>
      </c>
    </row>
    <row r="77" customFormat="false" ht="15" hidden="false" customHeight="false" outlineLevel="0" collapsed="false">
      <c r="A77" s="10" t="s">
        <v>380</v>
      </c>
      <c r="B77" s="10" t="s">
        <v>381</v>
      </c>
      <c r="C77" s="10" t="s">
        <v>137</v>
      </c>
      <c r="D77" s="10" t="s">
        <v>335</v>
      </c>
      <c r="E77" s="10" t="s">
        <v>170</v>
      </c>
      <c r="F77" s="10" t="s">
        <v>171</v>
      </c>
      <c r="G77" s="10" t="s">
        <v>92</v>
      </c>
      <c r="H77" s="10" t="s">
        <v>71</v>
      </c>
      <c r="I77" s="12" t="n">
        <v>0</v>
      </c>
      <c r="J77" s="12" t="n">
        <v>70</v>
      </c>
      <c r="K77" s="13" t="str">
        <f aca="false">IF(I77&gt;0,(I77-J77)/I77,"-")</f>
        <v>-</v>
      </c>
      <c r="L77" s="10" t="s">
        <v>173</v>
      </c>
      <c r="M77" s="10" t="s">
        <v>369</v>
      </c>
      <c r="N77" s="12" t="n">
        <v>70</v>
      </c>
      <c r="O77" s="10" t="s">
        <v>175</v>
      </c>
      <c r="P77" s="14" t="n">
        <v>7</v>
      </c>
      <c r="Q77" s="10" t="s">
        <v>301</v>
      </c>
      <c r="R77" s="10" t="s">
        <v>92</v>
      </c>
      <c r="S77" s="14" t="n">
        <v>500</v>
      </c>
      <c r="T77" s="12" t="n">
        <f aca="false">S77*J77</f>
        <v>35000</v>
      </c>
    </row>
    <row r="78" customFormat="false" ht="15" hidden="false" customHeight="false" outlineLevel="0" collapsed="false">
      <c r="A78" s="10" t="s">
        <v>382</v>
      </c>
      <c r="B78" s="10" t="s">
        <v>383</v>
      </c>
      <c r="C78" s="10" t="s">
        <v>138</v>
      </c>
      <c r="D78" s="10" t="s">
        <v>335</v>
      </c>
      <c r="E78" s="10" t="s">
        <v>170</v>
      </c>
      <c r="F78" s="10" t="s">
        <v>171</v>
      </c>
      <c r="G78" s="10" t="s">
        <v>92</v>
      </c>
      <c r="H78" s="10" t="s">
        <v>76</v>
      </c>
      <c r="I78" s="12" t="n">
        <v>0</v>
      </c>
      <c r="J78" s="12" t="n">
        <v>14</v>
      </c>
      <c r="K78" s="13" t="str">
        <f aca="false">IF(I78&gt;0,(I78-J78)/I78,"-")</f>
        <v>-</v>
      </c>
      <c r="L78" s="10" t="s">
        <v>173</v>
      </c>
      <c r="M78" s="10" t="s">
        <v>384</v>
      </c>
      <c r="N78" s="12" t="n">
        <v>14</v>
      </c>
      <c r="O78" s="10" t="s">
        <v>175</v>
      </c>
      <c r="P78" s="14" t="n">
        <v>5</v>
      </c>
      <c r="Q78" s="10" t="s">
        <v>301</v>
      </c>
      <c r="R78" s="10" t="s">
        <v>92</v>
      </c>
      <c r="S78" s="14" t="n">
        <v>4000</v>
      </c>
      <c r="T78" s="12" t="n">
        <f aca="false">S78*J78</f>
        <v>56000</v>
      </c>
    </row>
    <row r="79" customFormat="false" ht="15" hidden="false" customHeight="false" outlineLevel="0" collapsed="false">
      <c r="A79" s="10" t="s">
        <v>385</v>
      </c>
      <c r="B79" s="10" t="s">
        <v>386</v>
      </c>
      <c r="C79" s="10" t="s">
        <v>138</v>
      </c>
      <c r="D79" s="10" t="s">
        <v>335</v>
      </c>
      <c r="E79" s="10" t="s">
        <v>170</v>
      </c>
      <c r="F79" s="10" t="s">
        <v>171</v>
      </c>
      <c r="G79" s="10" t="s">
        <v>92</v>
      </c>
      <c r="H79" s="10" t="s">
        <v>71</v>
      </c>
      <c r="I79" s="12" t="n">
        <v>0</v>
      </c>
      <c r="J79" s="12" t="n">
        <v>38</v>
      </c>
      <c r="K79" s="13" t="str">
        <f aca="false">IF(I79&gt;0,(I79-J79)/I79,"-")</f>
        <v>-</v>
      </c>
      <c r="L79" s="10" t="s">
        <v>173</v>
      </c>
      <c r="M79" s="10" t="s">
        <v>384</v>
      </c>
      <c r="N79" s="12" t="n">
        <v>38</v>
      </c>
      <c r="O79" s="10" t="s">
        <v>175</v>
      </c>
      <c r="P79" s="14" t="n">
        <v>5</v>
      </c>
      <c r="Q79" s="10" t="s">
        <v>301</v>
      </c>
      <c r="R79" s="10" t="s">
        <v>92</v>
      </c>
      <c r="S79" s="14" t="n">
        <v>600</v>
      </c>
      <c r="T79" s="12" t="n">
        <f aca="false">S79*J79</f>
        <v>22800</v>
      </c>
    </row>
    <row r="80" customFormat="false" ht="15" hidden="false" customHeight="false" outlineLevel="0" collapsed="false">
      <c r="A80" s="10" t="s">
        <v>387</v>
      </c>
      <c r="B80" s="10" t="s">
        <v>388</v>
      </c>
      <c r="C80" s="10" t="s">
        <v>138</v>
      </c>
      <c r="D80" s="10" t="s">
        <v>335</v>
      </c>
      <c r="E80" s="10" t="s">
        <v>170</v>
      </c>
      <c r="F80" s="10" t="s">
        <v>171</v>
      </c>
      <c r="G80" s="10" t="s">
        <v>92</v>
      </c>
      <c r="H80" s="10" t="s">
        <v>71</v>
      </c>
      <c r="I80" s="12" t="n">
        <v>0</v>
      </c>
      <c r="J80" s="12" t="n">
        <v>25</v>
      </c>
      <c r="K80" s="13" t="str">
        <f aca="false">IF(I80&gt;0,(I80-J80)/I80,"-")</f>
        <v>-</v>
      </c>
      <c r="L80" s="10" t="s">
        <v>173</v>
      </c>
      <c r="M80" s="10" t="s">
        <v>384</v>
      </c>
      <c r="N80" s="12" t="n">
        <v>25</v>
      </c>
      <c r="O80" s="10" t="s">
        <v>175</v>
      </c>
      <c r="P80" s="14" t="n">
        <v>5</v>
      </c>
      <c r="Q80" s="10" t="s">
        <v>301</v>
      </c>
      <c r="R80" s="10" t="s">
        <v>92</v>
      </c>
      <c r="S80" s="14" t="n">
        <v>500</v>
      </c>
      <c r="T80" s="12" t="n">
        <f aca="false">S80*J80</f>
        <v>12500</v>
      </c>
    </row>
    <row r="81" customFormat="false" ht="15" hidden="false" customHeight="false" outlineLevel="0" collapsed="false">
      <c r="A81" s="10" t="s">
        <v>389</v>
      </c>
      <c r="B81" s="10" t="s">
        <v>390</v>
      </c>
      <c r="C81" s="10" t="s">
        <v>138</v>
      </c>
      <c r="D81" s="10" t="s">
        <v>335</v>
      </c>
      <c r="E81" s="10" t="s">
        <v>170</v>
      </c>
      <c r="F81" s="10" t="s">
        <v>171</v>
      </c>
      <c r="G81" s="10" t="s">
        <v>92</v>
      </c>
      <c r="H81" s="10" t="s">
        <v>76</v>
      </c>
      <c r="I81" s="12" t="n">
        <v>0</v>
      </c>
      <c r="J81" s="12" t="n">
        <v>160</v>
      </c>
      <c r="K81" s="13" t="str">
        <f aca="false">IF(I81&gt;0,(I81-J81)/I81,"-")</f>
        <v>-</v>
      </c>
      <c r="L81" s="10" t="s">
        <v>173</v>
      </c>
      <c r="M81" s="10" t="s">
        <v>384</v>
      </c>
      <c r="N81" s="12" t="n">
        <v>160</v>
      </c>
      <c r="O81" s="10" t="s">
        <v>175</v>
      </c>
      <c r="P81" s="14" t="n">
        <v>5</v>
      </c>
      <c r="Q81" s="10" t="s">
        <v>301</v>
      </c>
      <c r="R81" s="10" t="s">
        <v>92</v>
      </c>
      <c r="S81" s="14" t="n">
        <v>1200</v>
      </c>
      <c r="T81" s="12" t="n">
        <f aca="false">S81*J81</f>
        <v>192000</v>
      </c>
    </row>
    <row r="82" customFormat="false" ht="15" hidden="false" customHeight="false" outlineLevel="0" collapsed="false">
      <c r="A82" s="10" t="s">
        <v>391</v>
      </c>
      <c r="B82" s="10" t="s">
        <v>392</v>
      </c>
      <c r="C82" s="10" t="s">
        <v>136</v>
      </c>
      <c r="D82" s="10" t="s">
        <v>335</v>
      </c>
      <c r="E82" s="10" t="s">
        <v>170</v>
      </c>
      <c r="F82" s="10" t="s">
        <v>171</v>
      </c>
      <c r="G82" s="10" t="s">
        <v>92</v>
      </c>
      <c r="H82" s="10" t="s">
        <v>73</v>
      </c>
      <c r="I82" s="12" t="n">
        <v>0</v>
      </c>
      <c r="J82" s="12" t="n">
        <v>210</v>
      </c>
      <c r="K82" s="13" t="str">
        <f aca="false">IF(I82&gt;0,(I82-J82)/I82,"-")</f>
        <v>-</v>
      </c>
      <c r="L82" s="10" t="s">
        <v>173</v>
      </c>
      <c r="M82" s="10" t="s">
        <v>360</v>
      </c>
      <c r="N82" s="12" t="n">
        <v>210</v>
      </c>
      <c r="O82" s="10" t="s">
        <v>175</v>
      </c>
      <c r="P82" s="14" t="n">
        <v>7</v>
      </c>
      <c r="Q82" s="10" t="s">
        <v>301</v>
      </c>
      <c r="R82" s="10" t="s">
        <v>92</v>
      </c>
      <c r="S82" s="14" t="n">
        <v>300</v>
      </c>
      <c r="T82" s="12" t="n">
        <f aca="false">S82*J82</f>
        <v>63000</v>
      </c>
    </row>
    <row r="83" customFormat="false" ht="15" hidden="false" customHeight="false" outlineLevel="0" collapsed="false">
      <c r="A83" s="10" t="s">
        <v>393</v>
      </c>
      <c r="B83" s="10" t="s">
        <v>394</v>
      </c>
      <c r="C83" s="10" t="s">
        <v>138</v>
      </c>
      <c r="D83" s="10" t="s">
        <v>335</v>
      </c>
      <c r="E83" s="10" t="s">
        <v>170</v>
      </c>
      <c r="F83" s="10" t="s">
        <v>171</v>
      </c>
      <c r="G83" s="10" t="s">
        <v>92</v>
      </c>
      <c r="H83" s="10" t="s">
        <v>73</v>
      </c>
      <c r="I83" s="12" t="n">
        <v>0</v>
      </c>
      <c r="J83" s="12" t="n">
        <v>900</v>
      </c>
      <c r="K83" s="13" t="str">
        <f aca="false">IF(I83&gt;0,(I83-J83)/I83,"-")</f>
        <v>-</v>
      </c>
      <c r="L83" s="10" t="s">
        <v>173</v>
      </c>
      <c r="M83" s="10" t="s">
        <v>384</v>
      </c>
      <c r="N83" s="12" t="n">
        <v>900</v>
      </c>
      <c r="O83" s="10" t="s">
        <v>175</v>
      </c>
      <c r="P83" s="14" t="n">
        <v>5</v>
      </c>
      <c r="Q83" s="10" t="s">
        <v>301</v>
      </c>
      <c r="R83" s="10" t="s">
        <v>92</v>
      </c>
      <c r="S83" s="14" t="n">
        <v>20</v>
      </c>
      <c r="T83" s="12" t="n">
        <f aca="false">S83*J83</f>
        <v>18000</v>
      </c>
    </row>
    <row r="84" customFormat="false" ht="15" hidden="false" customHeight="false" outlineLevel="0" collapsed="false">
      <c r="A84" s="10" t="s">
        <v>395</v>
      </c>
      <c r="B84" s="10" t="s">
        <v>396</v>
      </c>
      <c r="C84" s="10" t="s">
        <v>139</v>
      </c>
      <c r="D84" s="10" t="s">
        <v>335</v>
      </c>
      <c r="E84" s="10" t="s">
        <v>170</v>
      </c>
      <c r="F84" s="10" t="s">
        <v>171</v>
      </c>
      <c r="G84" s="10" t="s">
        <v>92</v>
      </c>
      <c r="H84" s="10" t="s">
        <v>71</v>
      </c>
      <c r="I84" s="12" t="n">
        <v>0</v>
      </c>
      <c r="J84" s="12" t="n">
        <v>45</v>
      </c>
      <c r="K84" s="13" t="str">
        <f aca="false">IF(I84&gt;0,(I84-J84)/I84,"-")</f>
        <v>-</v>
      </c>
      <c r="L84" s="10" t="s">
        <v>173</v>
      </c>
      <c r="M84" s="10" t="s">
        <v>397</v>
      </c>
      <c r="N84" s="12" t="n">
        <v>45</v>
      </c>
      <c r="O84" s="10" t="s">
        <v>175</v>
      </c>
      <c r="P84" s="14" t="n">
        <v>3</v>
      </c>
      <c r="Q84" s="10" t="s">
        <v>301</v>
      </c>
      <c r="R84" s="10" t="s">
        <v>92</v>
      </c>
      <c r="S84" s="14" t="n">
        <v>250</v>
      </c>
      <c r="T84" s="12" t="n">
        <f aca="false">S84*J84</f>
        <v>11250</v>
      </c>
    </row>
    <row r="85" customFormat="false" ht="15" hidden="false" customHeight="false" outlineLevel="0" collapsed="false">
      <c r="A85" s="10" t="s">
        <v>398</v>
      </c>
      <c r="B85" s="10" t="s">
        <v>399</v>
      </c>
      <c r="C85" s="10" t="s">
        <v>139</v>
      </c>
      <c r="D85" s="10" t="s">
        <v>335</v>
      </c>
      <c r="E85" s="10" t="s">
        <v>170</v>
      </c>
      <c r="F85" s="10" t="s">
        <v>171</v>
      </c>
      <c r="G85" s="10" t="s">
        <v>92</v>
      </c>
      <c r="H85" s="10" t="s">
        <v>71</v>
      </c>
      <c r="I85" s="12" t="n">
        <v>0</v>
      </c>
      <c r="J85" s="12" t="n">
        <v>12</v>
      </c>
      <c r="K85" s="13" t="str">
        <f aca="false">IF(I85&gt;0,(I85-J85)/I85,"-")</f>
        <v>-</v>
      </c>
      <c r="L85" s="10" t="s">
        <v>173</v>
      </c>
      <c r="M85" s="10" t="s">
        <v>397</v>
      </c>
      <c r="N85" s="12" t="n">
        <v>12</v>
      </c>
      <c r="O85" s="10" t="s">
        <v>175</v>
      </c>
      <c r="P85" s="14" t="n">
        <v>3</v>
      </c>
      <c r="Q85" s="10" t="s">
        <v>301</v>
      </c>
      <c r="R85" s="10" t="s">
        <v>92</v>
      </c>
      <c r="S85" s="14" t="n">
        <v>800</v>
      </c>
      <c r="T85" s="12" t="n">
        <f aca="false">S85*J85</f>
        <v>9600</v>
      </c>
    </row>
    <row r="86" customFormat="false" ht="15" hidden="false" customHeight="false" outlineLevel="0" collapsed="false">
      <c r="A86" s="10" t="s">
        <v>400</v>
      </c>
      <c r="B86" s="10" t="s">
        <v>401</v>
      </c>
      <c r="C86" s="10" t="s">
        <v>139</v>
      </c>
      <c r="D86" s="10" t="s">
        <v>335</v>
      </c>
      <c r="E86" s="10" t="s">
        <v>170</v>
      </c>
      <c r="F86" s="10" t="s">
        <v>171</v>
      </c>
      <c r="G86" s="10" t="s">
        <v>92</v>
      </c>
      <c r="H86" s="10" t="s">
        <v>71</v>
      </c>
      <c r="I86" s="12" t="n">
        <v>0</v>
      </c>
      <c r="J86" s="12" t="n">
        <v>15</v>
      </c>
      <c r="K86" s="13" t="str">
        <f aca="false">IF(I86&gt;0,(I86-J86)/I86,"-")</f>
        <v>-</v>
      </c>
      <c r="L86" s="10" t="s">
        <v>173</v>
      </c>
      <c r="M86" s="10" t="s">
        <v>397</v>
      </c>
      <c r="N86" s="12" t="n">
        <v>15</v>
      </c>
      <c r="O86" s="10" t="s">
        <v>175</v>
      </c>
      <c r="P86" s="14" t="n">
        <v>3</v>
      </c>
      <c r="Q86" s="10" t="s">
        <v>301</v>
      </c>
      <c r="R86" s="10" t="s">
        <v>92</v>
      </c>
      <c r="S86" s="14" t="n">
        <v>1500</v>
      </c>
      <c r="T86" s="12" t="n">
        <f aca="false">S86*J86</f>
        <v>22500</v>
      </c>
    </row>
    <row r="87" customFormat="false" ht="15" hidden="false" customHeight="false" outlineLevel="0" collapsed="false">
      <c r="A87" s="10" t="s">
        <v>402</v>
      </c>
      <c r="B87" s="10" t="s">
        <v>403</v>
      </c>
      <c r="C87" s="10" t="s">
        <v>139</v>
      </c>
      <c r="D87" s="10" t="s">
        <v>335</v>
      </c>
      <c r="E87" s="10" t="s">
        <v>170</v>
      </c>
      <c r="F87" s="10" t="s">
        <v>171</v>
      </c>
      <c r="G87" s="10" t="s">
        <v>92</v>
      </c>
      <c r="H87" s="10" t="s">
        <v>71</v>
      </c>
      <c r="I87" s="12" t="n">
        <v>0</v>
      </c>
      <c r="J87" s="12" t="n">
        <v>4</v>
      </c>
      <c r="K87" s="13" t="str">
        <f aca="false">IF(I87&gt;0,(I87-J87)/I87,"-")</f>
        <v>-</v>
      </c>
      <c r="L87" s="10" t="s">
        <v>173</v>
      </c>
      <c r="M87" s="10" t="s">
        <v>397</v>
      </c>
      <c r="N87" s="12" t="n">
        <v>4</v>
      </c>
      <c r="O87" s="10" t="s">
        <v>175</v>
      </c>
      <c r="P87" s="14" t="n">
        <v>3</v>
      </c>
      <c r="Q87" s="10" t="s">
        <v>301</v>
      </c>
      <c r="R87" s="10" t="s">
        <v>92</v>
      </c>
      <c r="S87" s="14" t="n">
        <v>500</v>
      </c>
      <c r="T87" s="12" t="n">
        <f aca="false">S87*J87</f>
        <v>2000</v>
      </c>
    </row>
    <row r="88" customFormat="false" ht="15" hidden="false" customHeight="false" outlineLevel="0" collapsed="false">
      <c r="A88" s="10" t="s">
        <v>404</v>
      </c>
      <c r="B88" s="10" t="s">
        <v>405</v>
      </c>
      <c r="C88" s="10" t="s">
        <v>140</v>
      </c>
      <c r="D88" s="10" t="s">
        <v>406</v>
      </c>
      <c r="E88" s="10" t="s">
        <v>406</v>
      </c>
      <c r="F88" s="10" t="s">
        <v>301</v>
      </c>
      <c r="G88" s="10" t="s">
        <v>92</v>
      </c>
      <c r="H88" s="10" t="s">
        <v>71</v>
      </c>
      <c r="I88" s="12" t="n">
        <v>650</v>
      </c>
      <c r="J88" s="12" t="n">
        <v>0</v>
      </c>
      <c r="K88" s="13" t="n">
        <f aca="false">IF(I88&gt;0,(I88-J88)/I88,"-")</f>
        <v>1</v>
      </c>
      <c r="L88" s="10" t="s">
        <v>92</v>
      </c>
      <c r="M88" s="10" t="s">
        <v>92</v>
      </c>
      <c r="N88" s="12"/>
      <c r="O88" s="10" t="s">
        <v>92</v>
      </c>
      <c r="P88" s="14"/>
      <c r="Q88" s="10" t="s">
        <v>171</v>
      </c>
      <c r="R88" s="10" t="s">
        <v>92</v>
      </c>
      <c r="S88" s="14" t="n">
        <v>0</v>
      </c>
      <c r="T88" s="12" t="n">
        <f aca="false">S88*J88</f>
        <v>0</v>
      </c>
    </row>
    <row r="89" customFormat="false" ht="15" hidden="false" customHeight="false" outlineLevel="0" collapsed="false">
      <c r="A89" s="10" t="s">
        <v>407</v>
      </c>
      <c r="B89" s="10" t="s">
        <v>408</v>
      </c>
      <c r="C89" s="10" t="s">
        <v>140</v>
      </c>
      <c r="D89" s="10" t="s">
        <v>406</v>
      </c>
      <c r="E89" s="10" t="s">
        <v>406</v>
      </c>
      <c r="F89" s="10" t="s">
        <v>301</v>
      </c>
      <c r="G89" s="10" t="s">
        <v>92</v>
      </c>
      <c r="H89" s="10" t="s">
        <v>71</v>
      </c>
      <c r="I89" s="12" t="n">
        <v>200</v>
      </c>
      <c r="J89" s="12" t="n">
        <v>0</v>
      </c>
      <c r="K89" s="13" t="n">
        <f aca="false">IF(I89&gt;0,(I89-J89)/I89,"-")</f>
        <v>1</v>
      </c>
      <c r="L89" s="10" t="s">
        <v>92</v>
      </c>
      <c r="M89" s="10" t="s">
        <v>92</v>
      </c>
      <c r="N89" s="12"/>
      <c r="O89" s="10" t="s">
        <v>92</v>
      </c>
      <c r="P89" s="14"/>
      <c r="Q89" s="10" t="s">
        <v>171</v>
      </c>
      <c r="R89" s="10" t="s">
        <v>92</v>
      </c>
      <c r="S89" s="14" t="n">
        <v>0</v>
      </c>
      <c r="T89" s="12" t="n">
        <f aca="false">S89*J89</f>
        <v>0</v>
      </c>
    </row>
    <row r="90" customFormat="false" ht="15" hidden="false" customHeight="false" outlineLevel="0" collapsed="false">
      <c r="A90" s="10" t="s">
        <v>409</v>
      </c>
      <c r="B90" s="10" t="s">
        <v>410</v>
      </c>
      <c r="C90" s="10" t="s">
        <v>145</v>
      </c>
      <c r="D90" s="10" t="s">
        <v>406</v>
      </c>
      <c r="E90" s="10" t="s">
        <v>406</v>
      </c>
      <c r="F90" s="10" t="s">
        <v>301</v>
      </c>
      <c r="G90" s="10" t="s">
        <v>92</v>
      </c>
      <c r="H90" s="10" t="s">
        <v>71</v>
      </c>
      <c r="I90" s="12" t="n">
        <v>0</v>
      </c>
      <c r="J90" s="12" t="n">
        <v>0</v>
      </c>
      <c r="K90" s="13" t="str">
        <f aca="false">IF(I90&gt;0,(I90-J90)/I90,"-")</f>
        <v>-</v>
      </c>
      <c r="L90" s="10" t="s">
        <v>92</v>
      </c>
      <c r="M90" s="10" t="s">
        <v>92</v>
      </c>
      <c r="N90" s="12"/>
      <c r="O90" s="10" t="s">
        <v>92</v>
      </c>
      <c r="P90" s="14"/>
      <c r="Q90" s="10" t="s">
        <v>301</v>
      </c>
      <c r="R90" s="10" t="s">
        <v>92</v>
      </c>
      <c r="S90" s="14" t="n">
        <v>0</v>
      </c>
      <c r="T90" s="12" t="n">
        <f aca="false">S90*J90</f>
        <v>0</v>
      </c>
    </row>
    <row r="91" customFormat="false" ht="15" hidden="false" customHeight="false" outlineLevel="0" collapsed="false">
      <c r="A91" s="10" t="s">
        <v>411</v>
      </c>
      <c r="B91" s="10" t="s">
        <v>412</v>
      </c>
      <c r="C91" s="10" t="s">
        <v>145</v>
      </c>
      <c r="D91" s="10" t="s">
        <v>406</v>
      </c>
      <c r="E91" s="10" t="s">
        <v>406</v>
      </c>
      <c r="F91" s="10" t="s">
        <v>301</v>
      </c>
      <c r="G91" s="10" t="s">
        <v>92</v>
      </c>
      <c r="H91" s="10" t="s">
        <v>71</v>
      </c>
      <c r="I91" s="12" t="n">
        <v>0</v>
      </c>
      <c r="J91" s="12" t="n">
        <v>0</v>
      </c>
      <c r="K91" s="13" t="str">
        <f aca="false">IF(I91&gt;0,(I91-J91)/I91,"-")</f>
        <v>-</v>
      </c>
      <c r="L91" s="10" t="s">
        <v>92</v>
      </c>
      <c r="M91" s="10" t="s">
        <v>92</v>
      </c>
      <c r="N91" s="12"/>
      <c r="O91" s="10" t="s">
        <v>92</v>
      </c>
      <c r="P91" s="14"/>
      <c r="Q91" s="10" t="s">
        <v>301</v>
      </c>
      <c r="R91" s="10" t="s">
        <v>92</v>
      </c>
      <c r="S91" s="14" t="n">
        <v>0</v>
      </c>
      <c r="T91" s="12" t="n">
        <f aca="false">S91*J91</f>
        <v>0</v>
      </c>
    </row>
    <row r="92" customFormat="false" ht="15" hidden="false" customHeight="false" outlineLevel="0" collapsed="false">
      <c r="A92" s="10" t="s">
        <v>413</v>
      </c>
      <c r="B92" s="10" t="s">
        <v>414</v>
      </c>
      <c r="C92" s="10" t="s">
        <v>145</v>
      </c>
      <c r="D92" s="10" t="s">
        <v>406</v>
      </c>
      <c r="E92" s="10" t="s">
        <v>406</v>
      </c>
      <c r="F92" s="10" t="s">
        <v>301</v>
      </c>
      <c r="G92" s="10" t="s">
        <v>92</v>
      </c>
      <c r="H92" s="10" t="s">
        <v>71</v>
      </c>
      <c r="I92" s="12" t="n">
        <v>0</v>
      </c>
      <c r="J92" s="12" t="n">
        <v>0</v>
      </c>
      <c r="K92" s="13" t="str">
        <f aca="false">IF(I92&gt;0,(I92-J92)/I92,"-")</f>
        <v>-</v>
      </c>
      <c r="L92" s="10" t="s">
        <v>92</v>
      </c>
      <c r="M92" s="10" t="s">
        <v>92</v>
      </c>
      <c r="N92" s="12"/>
      <c r="O92" s="10" t="s">
        <v>92</v>
      </c>
      <c r="P92" s="14"/>
      <c r="Q92" s="10" t="s">
        <v>301</v>
      </c>
      <c r="R92" s="10" t="s">
        <v>92</v>
      </c>
      <c r="S92" s="14" t="n">
        <v>0</v>
      </c>
      <c r="T92" s="12" t="n">
        <f aca="false">S92*J92</f>
        <v>0</v>
      </c>
    </row>
    <row r="93" customFormat="false" ht="15" hidden="false" customHeight="false" outlineLevel="0" collapsed="false">
      <c r="A93" s="10" t="s">
        <v>415</v>
      </c>
      <c r="B93" s="10" t="s">
        <v>416</v>
      </c>
      <c r="C93" s="10" t="s">
        <v>145</v>
      </c>
      <c r="D93" s="10" t="s">
        <v>406</v>
      </c>
      <c r="E93" s="10" t="s">
        <v>406</v>
      </c>
      <c r="F93" s="10" t="s">
        <v>301</v>
      </c>
      <c r="G93" s="10" t="s">
        <v>92</v>
      </c>
      <c r="H93" s="10" t="s">
        <v>71</v>
      </c>
      <c r="I93" s="12" t="n">
        <v>0</v>
      </c>
      <c r="J93" s="12" t="n">
        <v>0</v>
      </c>
      <c r="K93" s="13" t="str">
        <f aca="false">IF(I93&gt;0,(I93-J93)/I93,"-")</f>
        <v>-</v>
      </c>
      <c r="L93" s="10" t="s">
        <v>92</v>
      </c>
      <c r="M93" s="10" t="s">
        <v>92</v>
      </c>
      <c r="N93" s="12"/>
      <c r="O93" s="10" t="s">
        <v>92</v>
      </c>
      <c r="P93" s="14"/>
      <c r="Q93" s="10" t="s">
        <v>301</v>
      </c>
      <c r="R93" s="10" t="s">
        <v>92</v>
      </c>
      <c r="S93" s="14" t="n">
        <v>0</v>
      </c>
      <c r="T93" s="12" t="n">
        <f aca="false">S93*J93</f>
        <v>0</v>
      </c>
    </row>
    <row r="94" customFormat="false" ht="15" hidden="false" customHeight="false" outlineLevel="0" collapsed="false">
      <c r="A94" s="15" t="s">
        <v>417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7" t="n">
        <f aca="false">SUM(S5:S93)</f>
        <v>24746</v>
      </c>
      <c r="T94" s="18" t="n">
        <f aca="false">SUM(T5:T93)</f>
        <v>20424776.5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9" min="8" style="0" width="14"/>
  </cols>
  <sheetData>
    <row r="1" customFormat="false" ht="16.15" hidden="false" customHeight="false" outlineLevel="0" collapsed="false">
      <c r="A1" s="8" t="s">
        <v>14</v>
      </c>
    </row>
    <row r="2" customFormat="false" ht="15" hidden="false" customHeight="false" outlineLevel="0" collapsed="false">
      <c r="A2" s="2" t="s">
        <v>418</v>
      </c>
    </row>
    <row r="4" customFormat="false" ht="15" hidden="false" customHeight="false" outlineLevel="0" collapsed="false">
      <c r="A4" s="9" t="s">
        <v>419</v>
      </c>
      <c r="B4" s="9" t="s">
        <v>420</v>
      </c>
      <c r="C4" s="9" t="s">
        <v>421</v>
      </c>
      <c r="D4" s="9" t="s">
        <v>422</v>
      </c>
      <c r="E4" s="9" t="s">
        <v>423</v>
      </c>
      <c r="F4" s="9" t="s">
        <v>424</v>
      </c>
      <c r="G4" s="9" t="s">
        <v>154</v>
      </c>
      <c r="H4" s="9" t="s">
        <v>425</v>
      </c>
      <c r="I4" s="9" t="s">
        <v>426</v>
      </c>
    </row>
    <row r="5" customFormat="false" ht="15" hidden="false" customHeight="false" outlineLevel="0" collapsed="false">
      <c r="A5" s="10" t="s">
        <v>427</v>
      </c>
      <c r="B5" s="10" t="s">
        <v>318</v>
      </c>
      <c r="C5" s="10" t="s">
        <v>319</v>
      </c>
      <c r="D5" s="10" t="s">
        <v>333</v>
      </c>
      <c r="E5" s="10" t="s">
        <v>334</v>
      </c>
      <c r="F5" s="19" t="n">
        <v>1</v>
      </c>
      <c r="G5" s="10" t="s">
        <v>71</v>
      </c>
      <c r="H5" s="12" t="n">
        <f aca="false">INDEX(Products!$J$5:$J$93,MATCH(D5,Products!$A$5:$A$93,0))</f>
        <v>66</v>
      </c>
      <c r="I5" s="12" t="n">
        <f aca="false">F5*H5</f>
        <v>66</v>
      </c>
    </row>
    <row r="6" customFormat="false" ht="15" hidden="false" customHeight="false" outlineLevel="0" collapsed="false">
      <c r="A6" s="10" t="s">
        <v>427</v>
      </c>
      <c r="B6" s="10" t="s">
        <v>318</v>
      </c>
      <c r="C6" s="10" t="s">
        <v>319</v>
      </c>
      <c r="D6" s="10" t="s">
        <v>337</v>
      </c>
      <c r="E6" s="10" t="s">
        <v>338</v>
      </c>
      <c r="F6" s="19" t="n">
        <v>1</v>
      </c>
      <c r="G6" s="10" t="s">
        <v>71</v>
      </c>
      <c r="H6" s="12" t="n">
        <f aca="false">INDEX(Products!$J$5:$J$93,MATCH(D6,Products!$A$5:$A$93,0))</f>
        <v>192.5</v>
      </c>
      <c r="I6" s="12" t="n">
        <f aca="false">F6*H6</f>
        <v>192.5</v>
      </c>
    </row>
    <row r="7" customFormat="false" ht="15" hidden="false" customHeight="false" outlineLevel="0" collapsed="false">
      <c r="A7" s="10" t="s">
        <v>427</v>
      </c>
      <c r="B7" s="10" t="s">
        <v>318</v>
      </c>
      <c r="C7" s="10" t="s">
        <v>319</v>
      </c>
      <c r="D7" s="10" t="s">
        <v>345</v>
      </c>
      <c r="E7" s="10" t="s">
        <v>346</v>
      </c>
      <c r="F7" s="19" t="n">
        <v>1</v>
      </c>
      <c r="G7" s="10" t="s">
        <v>71</v>
      </c>
      <c r="H7" s="12" t="n">
        <f aca="false">INDEX(Products!$J$5:$J$93,MATCH(D7,Products!$A$5:$A$93,0))</f>
        <v>19.25</v>
      </c>
      <c r="I7" s="12" t="n">
        <f aca="false">F7*H7</f>
        <v>19.25</v>
      </c>
    </row>
    <row r="8" customFormat="false" ht="15" hidden="false" customHeight="false" outlineLevel="0" collapsed="false">
      <c r="A8" s="10" t="s">
        <v>427</v>
      </c>
      <c r="B8" s="10" t="s">
        <v>318</v>
      </c>
      <c r="C8" s="10" t="s">
        <v>319</v>
      </c>
      <c r="D8" s="10" t="s">
        <v>393</v>
      </c>
      <c r="E8" s="10" t="s">
        <v>394</v>
      </c>
      <c r="F8" s="19" t="n">
        <v>0.01</v>
      </c>
      <c r="G8" s="10" t="s">
        <v>73</v>
      </c>
      <c r="H8" s="12" t="n">
        <f aca="false">INDEX(Products!$J$5:$J$93,MATCH(D8,Products!$A$5:$A$93,0))</f>
        <v>900</v>
      </c>
      <c r="I8" s="12" t="n">
        <f aca="false">F8*H8</f>
        <v>9</v>
      </c>
    </row>
    <row r="9" customFormat="false" ht="15" hidden="false" customHeight="false" outlineLevel="0" collapsed="false">
      <c r="A9" s="10" t="s">
        <v>428</v>
      </c>
      <c r="B9" s="10" t="s">
        <v>298</v>
      </c>
      <c r="C9" s="10" t="s">
        <v>299</v>
      </c>
      <c r="D9" s="10" t="s">
        <v>333</v>
      </c>
      <c r="E9" s="10" t="s">
        <v>334</v>
      </c>
      <c r="F9" s="19" t="n">
        <v>1</v>
      </c>
      <c r="G9" s="10" t="s">
        <v>71</v>
      </c>
      <c r="H9" s="12" t="n">
        <f aca="false">INDEX(Products!$J$5:$J$93,MATCH(D9,Products!$A$5:$A$93,0))</f>
        <v>66</v>
      </c>
      <c r="I9" s="12" t="n">
        <f aca="false">F9*H9</f>
        <v>66</v>
      </c>
    </row>
    <row r="10" customFormat="false" ht="15" hidden="false" customHeight="false" outlineLevel="0" collapsed="false">
      <c r="A10" s="10" t="s">
        <v>428</v>
      </c>
      <c r="B10" s="10" t="s">
        <v>298</v>
      </c>
      <c r="C10" s="10" t="s">
        <v>299</v>
      </c>
      <c r="D10" s="10" t="s">
        <v>339</v>
      </c>
      <c r="E10" s="10" t="s">
        <v>340</v>
      </c>
      <c r="F10" s="19" t="n">
        <v>1</v>
      </c>
      <c r="G10" s="10" t="s">
        <v>71</v>
      </c>
      <c r="H10" s="12" t="n">
        <f aca="false">INDEX(Products!$J$5:$J$93,MATCH(D10,Products!$A$5:$A$93,0))</f>
        <v>374</v>
      </c>
      <c r="I10" s="12" t="n">
        <f aca="false">F10*H10</f>
        <v>374</v>
      </c>
    </row>
    <row r="11" customFormat="false" ht="15" hidden="false" customHeight="false" outlineLevel="0" collapsed="false">
      <c r="A11" s="10" t="s">
        <v>428</v>
      </c>
      <c r="B11" s="10" t="s">
        <v>298</v>
      </c>
      <c r="C11" s="10" t="s">
        <v>299</v>
      </c>
      <c r="D11" s="10" t="s">
        <v>341</v>
      </c>
      <c r="E11" s="10" t="s">
        <v>342</v>
      </c>
      <c r="F11" s="19" t="n">
        <v>4</v>
      </c>
      <c r="G11" s="10" t="s">
        <v>71</v>
      </c>
      <c r="H11" s="12" t="n">
        <f aca="false">INDEX(Products!$J$5:$J$93,MATCH(D11,Products!$A$5:$A$93,0))</f>
        <v>49.5</v>
      </c>
      <c r="I11" s="12" t="n">
        <f aca="false">F11*H11</f>
        <v>198</v>
      </c>
    </row>
    <row r="12" customFormat="false" ht="15" hidden="false" customHeight="false" outlineLevel="0" collapsed="false">
      <c r="A12" s="10" t="s">
        <v>428</v>
      </c>
      <c r="B12" s="10" t="s">
        <v>298</v>
      </c>
      <c r="C12" s="10" t="s">
        <v>299</v>
      </c>
      <c r="D12" s="10" t="s">
        <v>393</v>
      </c>
      <c r="E12" s="10" t="s">
        <v>394</v>
      </c>
      <c r="F12" s="19" t="n">
        <v>0.015</v>
      </c>
      <c r="G12" s="10" t="s">
        <v>73</v>
      </c>
      <c r="H12" s="12" t="n">
        <f aca="false">INDEX(Products!$J$5:$J$93,MATCH(D12,Products!$A$5:$A$93,0))</f>
        <v>900</v>
      </c>
      <c r="I12" s="12" t="n">
        <f aca="false">F12*H12</f>
        <v>13.5</v>
      </c>
    </row>
    <row r="13" customFormat="false" ht="15" hidden="false" customHeight="false" outlineLevel="0" collapsed="false">
      <c r="A13" s="10" t="s">
        <v>429</v>
      </c>
      <c r="B13" s="10" t="s">
        <v>303</v>
      </c>
      <c r="C13" s="10" t="s">
        <v>304</v>
      </c>
      <c r="D13" s="10" t="s">
        <v>382</v>
      </c>
      <c r="E13" s="10" t="s">
        <v>383</v>
      </c>
      <c r="F13" s="19" t="n">
        <v>6</v>
      </c>
      <c r="G13" s="10" t="s">
        <v>76</v>
      </c>
      <c r="H13" s="12" t="n">
        <f aca="false">INDEX(Products!$J$5:$J$93,MATCH(D13,Products!$A$5:$A$93,0))</f>
        <v>14</v>
      </c>
      <c r="I13" s="12" t="n">
        <f aca="false">F13*H13</f>
        <v>84</v>
      </c>
    </row>
    <row r="14" customFormat="false" ht="15" hidden="false" customHeight="false" outlineLevel="0" collapsed="false">
      <c r="A14" s="10" t="s">
        <v>429</v>
      </c>
      <c r="B14" s="10" t="s">
        <v>303</v>
      </c>
      <c r="C14" s="10" t="s">
        <v>304</v>
      </c>
      <c r="D14" s="10" t="s">
        <v>387</v>
      </c>
      <c r="E14" s="10" t="s">
        <v>388</v>
      </c>
      <c r="F14" s="19" t="n">
        <v>1</v>
      </c>
      <c r="G14" s="10" t="s">
        <v>71</v>
      </c>
      <c r="H14" s="12" t="n">
        <f aca="false">INDEX(Products!$J$5:$J$93,MATCH(D14,Products!$A$5:$A$93,0))</f>
        <v>25</v>
      </c>
      <c r="I14" s="12" t="n">
        <f aca="false">F14*H14</f>
        <v>25</v>
      </c>
    </row>
    <row r="15" customFormat="false" ht="15" hidden="false" customHeight="false" outlineLevel="0" collapsed="false">
      <c r="A15" s="10" t="s">
        <v>430</v>
      </c>
      <c r="B15" s="10" t="s">
        <v>306</v>
      </c>
      <c r="C15" s="10" t="s">
        <v>307</v>
      </c>
      <c r="D15" s="10" t="s">
        <v>358</v>
      </c>
      <c r="E15" s="10" t="s">
        <v>359</v>
      </c>
      <c r="F15" s="19" t="n">
        <v>12</v>
      </c>
      <c r="G15" s="10" t="s">
        <v>73</v>
      </c>
      <c r="H15" s="12" t="n">
        <f aca="false">INDEX(Products!$J$5:$J$93,MATCH(D15,Products!$A$5:$A$93,0))</f>
        <v>70</v>
      </c>
      <c r="I15" s="12" t="n">
        <f aca="false">F15*H15</f>
        <v>840</v>
      </c>
    </row>
    <row r="16" customFormat="false" ht="15" hidden="false" customHeight="false" outlineLevel="0" collapsed="false">
      <c r="A16" s="10" t="s">
        <v>430</v>
      </c>
      <c r="B16" s="10" t="s">
        <v>306</v>
      </c>
      <c r="C16" s="10" t="s">
        <v>307</v>
      </c>
      <c r="D16" s="10" t="s">
        <v>363</v>
      </c>
      <c r="E16" s="10" t="s">
        <v>364</v>
      </c>
      <c r="F16" s="19" t="n">
        <v>0.6</v>
      </c>
      <c r="G16" s="10" t="s">
        <v>73</v>
      </c>
      <c r="H16" s="12" t="n">
        <f aca="false">INDEX(Products!$J$5:$J$93,MATCH(D16,Products!$A$5:$A$93,0))</f>
        <v>220</v>
      </c>
      <c r="I16" s="12" t="n">
        <f aca="false">F16*H16</f>
        <v>132</v>
      </c>
    </row>
    <row r="17" customFormat="false" ht="15" hidden="false" customHeight="false" outlineLevel="0" collapsed="false">
      <c r="A17" s="10" t="s">
        <v>430</v>
      </c>
      <c r="B17" s="10" t="s">
        <v>306</v>
      </c>
      <c r="C17" s="10" t="s">
        <v>307</v>
      </c>
      <c r="D17" s="10" t="s">
        <v>400</v>
      </c>
      <c r="E17" s="10" t="s">
        <v>401</v>
      </c>
      <c r="F17" s="19" t="n">
        <v>1</v>
      </c>
      <c r="G17" s="10" t="s">
        <v>71</v>
      </c>
      <c r="H17" s="12" t="n">
        <f aca="false">INDEX(Products!$J$5:$J$93,MATCH(D17,Products!$A$5:$A$93,0))</f>
        <v>15</v>
      </c>
      <c r="I17" s="12" t="n">
        <f aca="false">F17*H17</f>
        <v>15</v>
      </c>
    </row>
    <row r="18" customFormat="false" ht="15" hidden="false" customHeight="false" outlineLevel="0" collapsed="false">
      <c r="A18" s="10" t="s">
        <v>431</v>
      </c>
      <c r="B18" s="10" t="s">
        <v>309</v>
      </c>
      <c r="C18" s="10" t="s">
        <v>310</v>
      </c>
      <c r="D18" s="10" t="s">
        <v>358</v>
      </c>
      <c r="E18" s="10" t="s">
        <v>359</v>
      </c>
      <c r="F18" s="19" t="n">
        <v>3.5</v>
      </c>
      <c r="G18" s="10" t="s">
        <v>73</v>
      </c>
      <c r="H18" s="12" t="n">
        <f aca="false">INDEX(Products!$J$5:$J$93,MATCH(D18,Products!$A$5:$A$93,0))</f>
        <v>70</v>
      </c>
      <c r="I18" s="12" t="n">
        <f aca="false">F18*H18</f>
        <v>245</v>
      </c>
    </row>
    <row r="19" customFormat="false" ht="15" hidden="false" customHeight="false" outlineLevel="0" collapsed="false">
      <c r="A19" s="10" t="s">
        <v>431</v>
      </c>
      <c r="B19" s="10" t="s">
        <v>309</v>
      </c>
      <c r="C19" s="10" t="s">
        <v>310</v>
      </c>
      <c r="D19" s="10" t="s">
        <v>363</v>
      </c>
      <c r="E19" s="10" t="s">
        <v>364</v>
      </c>
      <c r="F19" s="19" t="n">
        <v>0.2</v>
      </c>
      <c r="G19" s="10" t="s">
        <v>73</v>
      </c>
      <c r="H19" s="12" t="n">
        <f aca="false">INDEX(Products!$J$5:$J$93,MATCH(D19,Products!$A$5:$A$93,0))</f>
        <v>220</v>
      </c>
      <c r="I19" s="12" t="n">
        <f aca="false">F19*H19</f>
        <v>44</v>
      </c>
    </row>
    <row r="20" customFormat="false" ht="15" hidden="false" customHeight="false" outlineLevel="0" collapsed="false">
      <c r="A20" s="10" t="s">
        <v>431</v>
      </c>
      <c r="B20" s="10" t="s">
        <v>309</v>
      </c>
      <c r="C20" s="10" t="s">
        <v>310</v>
      </c>
      <c r="D20" s="10" t="s">
        <v>400</v>
      </c>
      <c r="E20" s="10" t="s">
        <v>401</v>
      </c>
      <c r="F20" s="19" t="n">
        <v>1</v>
      </c>
      <c r="G20" s="10" t="s">
        <v>71</v>
      </c>
      <c r="H20" s="12" t="n">
        <f aca="false">INDEX(Products!$J$5:$J$93,MATCH(D20,Products!$A$5:$A$93,0))</f>
        <v>15</v>
      </c>
      <c r="I20" s="12" t="n">
        <f aca="false">F20*H20</f>
        <v>15</v>
      </c>
    </row>
    <row r="21" customFormat="false" ht="15" hidden="false" customHeight="false" outlineLevel="0" collapsed="false">
      <c r="A21" s="10" t="s">
        <v>431</v>
      </c>
      <c r="B21" s="10" t="s">
        <v>309</v>
      </c>
      <c r="C21" s="10" t="s">
        <v>310</v>
      </c>
      <c r="D21" s="10" t="s">
        <v>398</v>
      </c>
      <c r="E21" s="10" t="s">
        <v>399</v>
      </c>
      <c r="F21" s="19" t="n">
        <v>1</v>
      </c>
      <c r="G21" s="10" t="s">
        <v>71</v>
      </c>
      <c r="H21" s="12" t="n">
        <f aca="false">INDEX(Products!$J$5:$J$93,MATCH(D21,Products!$A$5:$A$93,0))</f>
        <v>12</v>
      </c>
      <c r="I21" s="12" t="n">
        <f aca="false">F21*H21</f>
        <v>12</v>
      </c>
    </row>
    <row r="22" customFormat="false" ht="15" hidden="false" customHeight="false" outlineLevel="0" collapsed="false">
      <c r="A22" s="10" t="s">
        <v>432</v>
      </c>
      <c r="B22" s="10" t="s">
        <v>312</v>
      </c>
      <c r="C22" s="10" t="s">
        <v>313</v>
      </c>
      <c r="D22" s="10" t="s">
        <v>367</v>
      </c>
      <c r="E22" s="10" t="s">
        <v>368</v>
      </c>
      <c r="F22" s="19" t="n">
        <v>1.2</v>
      </c>
      <c r="G22" s="10" t="s">
        <v>73</v>
      </c>
      <c r="H22" s="12" t="n">
        <f aca="false">INDEX(Products!$J$5:$J$93,MATCH(D22,Products!$A$5:$A$93,0))</f>
        <v>120</v>
      </c>
      <c r="I22" s="12" t="n">
        <f aca="false">F22*H22</f>
        <v>144</v>
      </c>
    </row>
    <row r="23" customFormat="false" ht="15" hidden="false" customHeight="false" outlineLevel="0" collapsed="false">
      <c r="A23" s="10" t="s">
        <v>433</v>
      </c>
      <c r="B23" s="10" t="s">
        <v>315</v>
      </c>
      <c r="C23" s="10" t="s">
        <v>316</v>
      </c>
      <c r="D23" s="10" t="s">
        <v>372</v>
      </c>
      <c r="E23" s="10" t="s">
        <v>373</v>
      </c>
      <c r="F23" s="19" t="n">
        <v>1</v>
      </c>
      <c r="G23" s="10" t="s">
        <v>71</v>
      </c>
      <c r="H23" s="12" t="n">
        <f aca="false">INDEX(Products!$J$5:$J$93,MATCH(D23,Products!$A$5:$A$93,0))</f>
        <v>45</v>
      </c>
      <c r="I23" s="12" t="n">
        <f aca="false">F23*H23</f>
        <v>45</v>
      </c>
    </row>
    <row r="24" customFormat="false" ht="15" hidden="false" customHeight="false" outlineLevel="0" collapsed="false">
      <c r="A24" s="10" t="s">
        <v>433</v>
      </c>
      <c r="B24" s="10" t="s">
        <v>315</v>
      </c>
      <c r="C24" s="10" t="s">
        <v>316</v>
      </c>
      <c r="D24" s="10" t="s">
        <v>374</v>
      </c>
      <c r="E24" s="10" t="s">
        <v>375</v>
      </c>
      <c r="F24" s="19" t="n">
        <v>6</v>
      </c>
      <c r="G24" s="10" t="s">
        <v>71</v>
      </c>
      <c r="H24" s="12" t="n">
        <f aca="false">INDEX(Products!$J$5:$J$93,MATCH(D24,Products!$A$5:$A$93,0))</f>
        <v>18</v>
      </c>
      <c r="I24" s="12" t="n">
        <f aca="false">F24*H24</f>
        <v>108</v>
      </c>
    </row>
    <row r="25" customFormat="false" ht="15" hidden="false" customHeight="false" outlineLevel="0" collapsed="false">
      <c r="A25" s="10" t="s">
        <v>433</v>
      </c>
      <c r="B25" s="10" t="s">
        <v>315</v>
      </c>
      <c r="C25" s="10" t="s">
        <v>316</v>
      </c>
      <c r="D25" s="10" t="s">
        <v>347</v>
      </c>
      <c r="E25" s="10" t="s">
        <v>348</v>
      </c>
      <c r="F25" s="19" t="n">
        <v>1</v>
      </c>
      <c r="G25" s="10" t="s">
        <v>71</v>
      </c>
      <c r="H25" s="12" t="n">
        <f aca="false">INDEX(Products!$J$5:$J$93,MATCH(D25,Products!$A$5:$A$93,0))</f>
        <v>44</v>
      </c>
      <c r="I25" s="12" t="n">
        <f aca="false">F25*H25</f>
        <v>44</v>
      </c>
    </row>
    <row r="26" customFormat="false" ht="15" hidden="false" customHeight="false" outlineLevel="0" collapsed="false">
      <c r="A26" s="10" t="s">
        <v>433</v>
      </c>
      <c r="B26" s="10" t="s">
        <v>315</v>
      </c>
      <c r="C26" s="10" t="s">
        <v>316</v>
      </c>
      <c r="D26" s="10" t="s">
        <v>385</v>
      </c>
      <c r="E26" s="10" t="s">
        <v>386</v>
      </c>
      <c r="F26" s="19" t="n">
        <v>1</v>
      </c>
      <c r="G26" s="10" t="s">
        <v>71</v>
      </c>
      <c r="H26" s="12" t="n">
        <f aca="false">INDEX(Products!$J$5:$J$93,MATCH(D26,Products!$A$5:$A$93,0))</f>
        <v>38</v>
      </c>
      <c r="I26" s="12" t="n">
        <f aca="false">F26*H26</f>
        <v>38</v>
      </c>
    </row>
    <row r="27" customFormat="false" ht="15" hidden="false" customHeight="false" outlineLevel="0" collapsed="false">
      <c r="A27" s="10" t="s">
        <v>433</v>
      </c>
      <c r="B27" s="10" t="s">
        <v>315</v>
      </c>
      <c r="C27" s="10" t="s">
        <v>316</v>
      </c>
      <c r="D27" s="10" t="s">
        <v>382</v>
      </c>
      <c r="E27" s="10" t="s">
        <v>383</v>
      </c>
      <c r="F27" s="19" t="n">
        <v>1.5</v>
      </c>
      <c r="G27" s="10" t="s">
        <v>76</v>
      </c>
      <c r="H27" s="12" t="n">
        <f aca="false">INDEX(Products!$J$5:$J$93,MATCH(D27,Products!$A$5:$A$93,0))</f>
        <v>14</v>
      </c>
      <c r="I27" s="12" t="n">
        <f aca="false">F27*H27</f>
        <v>21</v>
      </c>
    </row>
    <row r="28" customFormat="false" ht="15" hidden="false" customHeight="false" outlineLevel="0" collapsed="false">
      <c r="A28" s="10" t="s">
        <v>433</v>
      </c>
      <c r="B28" s="10" t="s">
        <v>315</v>
      </c>
      <c r="C28" s="10" t="s">
        <v>316</v>
      </c>
      <c r="D28" s="10" t="s">
        <v>398</v>
      </c>
      <c r="E28" s="10" t="s">
        <v>399</v>
      </c>
      <c r="F28" s="19" t="n">
        <v>1</v>
      </c>
      <c r="G28" s="10" t="s">
        <v>71</v>
      </c>
      <c r="H28" s="12" t="n">
        <f aca="false">INDEX(Products!$J$5:$J$93,MATCH(D28,Products!$A$5:$A$93,0))</f>
        <v>12</v>
      </c>
      <c r="I28" s="12" t="n">
        <f aca="false">F28*H28</f>
        <v>12</v>
      </c>
    </row>
    <row r="29" customFormat="false" ht="15" hidden="false" customHeight="false" outlineLevel="0" collapsed="false">
      <c r="A29" s="10" t="s">
        <v>434</v>
      </c>
      <c r="B29" s="10" t="s">
        <v>321</v>
      </c>
      <c r="C29" s="10" t="s">
        <v>322</v>
      </c>
      <c r="D29" s="10" t="s">
        <v>389</v>
      </c>
      <c r="E29" s="10" t="s">
        <v>390</v>
      </c>
      <c r="F29" s="19" t="n">
        <v>4.5</v>
      </c>
      <c r="G29" s="10" t="s">
        <v>76</v>
      </c>
      <c r="H29" s="12" t="n">
        <f aca="false">INDEX(Products!$J$5:$J$93,MATCH(D29,Products!$A$5:$A$93,0))</f>
        <v>160</v>
      </c>
      <c r="I29" s="12" t="n">
        <f aca="false">F29*H29</f>
        <v>720</v>
      </c>
    </row>
    <row r="30" customFormat="false" ht="15" hidden="false" customHeight="false" outlineLevel="0" collapsed="false">
      <c r="A30" s="10" t="s">
        <v>434</v>
      </c>
      <c r="B30" s="10" t="s">
        <v>321</v>
      </c>
      <c r="C30" s="10" t="s">
        <v>322</v>
      </c>
      <c r="D30" s="10" t="s">
        <v>391</v>
      </c>
      <c r="E30" s="10" t="s">
        <v>392</v>
      </c>
      <c r="F30" s="19" t="n">
        <v>0.8</v>
      </c>
      <c r="G30" s="10" t="s">
        <v>73</v>
      </c>
      <c r="H30" s="12" t="n">
        <f aca="false">INDEX(Products!$J$5:$J$93,MATCH(D30,Products!$A$5:$A$93,0))</f>
        <v>210</v>
      </c>
      <c r="I30" s="12" t="n">
        <f aca="false">F30*H30</f>
        <v>168</v>
      </c>
    </row>
    <row r="31" customFormat="false" ht="15" hidden="false" customHeight="false" outlineLevel="0" collapsed="false">
      <c r="A31" s="10" t="s">
        <v>434</v>
      </c>
      <c r="B31" s="10" t="s">
        <v>321</v>
      </c>
      <c r="C31" s="10" t="s">
        <v>322</v>
      </c>
      <c r="D31" s="10" t="s">
        <v>393</v>
      </c>
      <c r="E31" s="10" t="s">
        <v>394</v>
      </c>
      <c r="F31" s="19" t="n">
        <v>0.02</v>
      </c>
      <c r="G31" s="10" t="s">
        <v>73</v>
      </c>
      <c r="H31" s="12" t="n">
        <f aca="false">INDEX(Products!$J$5:$J$93,MATCH(D31,Products!$A$5:$A$93,0))</f>
        <v>900</v>
      </c>
      <c r="I31" s="12" t="n">
        <f aca="false">F31*H31</f>
        <v>18</v>
      </c>
    </row>
    <row r="32" customFormat="false" ht="15" hidden="false" customHeight="false" outlineLevel="0" collapsed="false">
      <c r="A32" s="10" t="s">
        <v>435</v>
      </c>
      <c r="B32" s="10" t="s">
        <v>324</v>
      </c>
      <c r="C32" s="10" t="s">
        <v>325</v>
      </c>
      <c r="D32" s="10" t="s">
        <v>361</v>
      </c>
      <c r="E32" s="10" t="s">
        <v>362</v>
      </c>
      <c r="F32" s="19" t="n">
        <v>2</v>
      </c>
      <c r="G32" s="10" t="s">
        <v>73</v>
      </c>
      <c r="H32" s="12" t="n">
        <f aca="false">INDEX(Products!$J$5:$J$93,MATCH(D32,Products!$A$5:$A$93,0))</f>
        <v>180</v>
      </c>
      <c r="I32" s="12" t="n">
        <f aca="false">F32*H32</f>
        <v>360</v>
      </c>
    </row>
    <row r="33" customFormat="false" ht="15" hidden="false" customHeight="false" outlineLevel="0" collapsed="false">
      <c r="A33" s="10" t="s">
        <v>435</v>
      </c>
      <c r="B33" s="10" t="s">
        <v>324</v>
      </c>
      <c r="C33" s="10" t="s">
        <v>325</v>
      </c>
      <c r="D33" s="10" t="s">
        <v>376</v>
      </c>
      <c r="E33" s="10" t="s">
        <v>377</v>
      </c>
      <c r="F33" s="19" t="n">
        <v>1</v>
      </c>
      <c r="G33" s="10" t="s">
        <v>71</v>
      </c>
      <c r="H33" s="12" t="n">
        <f aca="false">INDEX(Products!$J$5:$J$93,MATCH(D33,Products!$A$5:$A$93,0))</f>
        <v>60</v>
      </c>
      <c r="I33" s="12" t="n">
        <f aca="false">F33*H33</f>
        <v>60</v>
      </c>
    </row>
    <row r="34" customFormat="false" ht="15" hidden="false" customHeight="false" outlineLevel="0" collapsed="false">
      <c r="A34" s="10" t="s">
        <v>435</v>
      </c>
      <c r="B34" s="10" t="s">
        <v>324</v>
      </c>
      <c r="C34" s="10" t="s">
        <v>325</v>
      </c>
      <c r="D34" s="10" t="s">
        <v>400</v>
      </c>
      <c r="E34" s="10" t="s">
        <v>401</v>
      </c>
      <c r="F34" s="19" t="n">
        <v>1</v>
      </c>
      <c r="G34" s="10" t="s">
        <v>71</v>
      </c>
      <c r="H34" s="12" t="n">
        <f aca="false">INDEX(Products!$J$5:$J$93,MATCH(D34,Products!$A$5:$A$93,0))</f>
        <v>15</v>
      </c>
      <c r="I34" s="12" t="n">
        <f aca="false">F34*H34</f>
        <v>15</v>
      </c>
    </row>
    <row r="35" customFormat="false" ht="15" hidden="false" customHeight="false" outlineLevel="0" collapsed="false">
      <c r="A35" s="10" t="s">
        <v>436</v>
      </c>
      <c r="B35" s="10" t="s">
        <v>327</v>
      </c>
      <c r="C35" s="10" t="s">
        <v>328</v>
      </c>
      <c r="D35" s="10" t="s">
        <v>378</v>
      </c>
      <c r="E35" s="10" t="s">
        <v>379</v>
      </c>
      <c r="F35" s="19" t="n">
        <v>1</v>
      </c>
      <c r="G35" s="10" t="s">
        <v>71</v>
      </c>
      <c r="H35" s="12" t="n">
        <f aca="false">INDEX(Products!$J$5:$J$93,MATCH(D35,Products!$A$5:$A$93,0))</f>
        <v>85</v>
      </c>
      <c r="I35" s="12" t="n">
        <f aca="false">F35*H35</f>
        <v>85</v>
      </c>
    </row>
    <row r="36" customFormat="false" ht="15" hidden="false" customHeight="false" outlineLevel="0" collapsed="false">
      <c r="A36" s="10" t="s">
        <v>436</v>
      </c>
      <c r="B36" s="10" t="s">
        <v>327</v>
      </c>
      <c r="C36" s="10" t="s">
        <v>328</v>
      </c>
      <c r="D36" s="10" t="s">
        <v>380</v>
      </c>
      <c r="E36" s="10" t="s">
        <v>381</v>
      </c>
      <c r="F36" s="19" t="n">
        <v>1</v>
      </c>
      <c r="G36" s="10" t="s">
        <v>71</v>
      </c>
      <c r="H36" s="12" t="n">
        <f aca="false">INDEX(Products!$J$5:$J$93,MATCH(D36,Products!$A$5:$A$93,0))</f>
        <v>70</v>
      </c>
      <c r="I36" s="12" t="n">
        <f aca="false">F36*H36</f>
        <v>70</v>
      </c>
    </row>
    <row r="37" customFormat="false" ht="15" hidden="false" customHeight="false" outlineLevel="0" collapsed="false">
      <c r="A37" s="10" t="s">
        <v>436</v>
      </c>
      <c r="B37" s="10" t="s">
        <v>327</v>
      </c>
      <c r="C37" s="10" t="s">
        <v>328</v>
      </c>
      <c r="D37" s="10" t="s">
        <v>367</v>
      </c>
      <c r="E37" s="10" t="s">
        <v>368</v>
      </c>
      <c r="F37" s="19" t="n">
        <v>0.1</v>
      </c>
      <c r="G37" s="10" t="s">
        <v>73</v>
      </c>
      <c r="H37" s="12" t="n">
        <f aca="false">INDEX(Products!$J$5:$J$93,MATCH(D37,Products!$A$5:$A$93,0))</f>
        <v>120</v>
      </c>
      <c r="I37" s="12" t="n">
        <f aca="false">F37*H37</f>
        <v>12</v>
      </c>
    </row>
    <row r="38" customFormat="false" ht="15" hidden="false" customHeight="false" outlineLevel="0" collapsed="false">
      <c r="A38" s="10" t="s">
        <v>436</v>
      </c>
      <c r="B38" s="10" t="s">
        <v>327</v>
      </c>
      <c r="C38" s="10" t="s">
        <v>328</v>
      </c>
      <c r="D38" s="10" t="s">
        <v>398</v>
      </c>
      <c r="E38" s="10" t="s">
        <v>399</v>
      </c>
      <c r="F38" s="19" t="n">
        <v>1</v>
      </c>
      <c r="G38" s="10" t="s">
        <v>71</v>
      </c>
      <c r="H38" s="12" t="n">
        <f aca="false">INDEX(Products!$J$5:$J$93,MATCH(D38,Products!$A$5:$A$93,0))</f>
        <v>12</v>
      </c>
      <c r="I38" s="12" t="n">
        <f aca="false">F38*H38</f>
        <v>12</v>
      </c>
    </row>
    <row r="39" customFormat="false" ht="15" hidden="false" customHeight="false" outlineLevel="0" collapsed="false">
      <c r="A39" s="10" t="s">
        <v>437</v>
      </c>
      <c r="B39" s="10" t="s">
        <v>330</v>
      </c>
      <c r="C39" s="10" t="s">
        <v>331</v>
      </c>
      <c r="D39" s="10" t="s">
        <v>318</v>
      </c>
      <c r="E39" s="10" t="s">
        <v>319</v>
      </c>
      <c r="F39" s="19" t="n">
        <v>1</v>
      </c>
      <c r="G39" s="10" t="s">
        <v>71</v>
      </c>
      <c r="H39" s="12" t="n">
        <f aca="false">INDEX(Products!$J$5:$J$93,MATCH(D39,Products!$A$5:$A$93,0))</f>
        <v>401.75</v>
      </c>
      <c r="I39" s="12" t="n">
        <f aca="false">F39*H39</f>
        <v>401.75</v>
      </c>
    </row>
    <row r="40" customFormat="false" ht="15" hidden="false" customHeight="false" outlineLevel="0" collapsed="false">
      <c r="A40" s="10" t="s">
        <v>437</v>
      </c>
      <c r="B40" s="10" t="s">
        <v>330</v>
      </c>
      <c r="C40" s="10" t="s">
        <v>331</v>
      </c>
      <c r="D40" s="10" t="s">
        <v>349</v>
      </c>
      <c r="E40" s="10" t="s">
        <v>350</v>
      </c>
      <c r="F40" s="19" t="n">
        <v>1</v>
      </c>
      <c r="G40" s="10" t="s">
        <v>71</v>
      </c>
      <c r="H40" s="12" t="n">
        <f aca="false">INDEX(Products!$J$5:$J$93,MATCH(D40,Products!$A$5:$A$93,0))</f>
        <v>522.5</v>
      </c>
      <c r="I40" s="12" t="n">
        <f aca="false">F40*H40</f>
        <v>522.5</v>
      </c>
    </row>
    <row r="41" customFormat="false" ht="15" hidden="false" customHeight="false" outlineLevel="0" collapsed="false">
      <c r="A41" s="10" t="s">
        <v>437</v>
      </c>
      <c r="B41" s="10" t="s">
        <v>330</v>
      </c>
      <c r="C41" s="10" t="s">
        <v>331</v>
      </c>
      <c r="D41" s="10" t="s">
        <v>352</v>
      </c>
      <c r="E41" s="10" t="s">
        <v>353</v>
      </c>
      <c r="F41" s="19" t="n">
        <v>1</v>
      </c>
      <c r="G41" s="10" t="s">
        <v>71</v>
      </c>
      <c r="H41" s="12" t="n">
        <f aca="false">INDEX(Products!$J$5:$J$93,MATCH(D41,Products!$A$5:$A$93,0))</f>
        <v>77</v>
      </c>
      <c r="I41" s="12" t="n">
        <f aca="false">F41*H41</f>
        <v>77</v>
      </c>
    </row>
    <row r="42" customFormat="false" ht="15" hidden="false" customHeight="false" outlineLevel="0" collapsed="false">
      <c r="A42" s="10" t="s">
        <v>437</v>
      </c>
      <c r="B42" s="10" t="s">
        <v>330</v>
      </c>
      <c r="C42" s="10" t="s">
        <v>331</v>
      </c>
      <c r="D42" s="10" t="s">
        <v>354</v>
      </c>
      <c r="E42" s="10" t="s">
        <v>355</v>
      </c>
      <c r="F42" s="19" t="n">
        <v>1</v>
      </c>
      <c r="G42" s="10" t="s">
        <v>71</v>
      </c>
      <c r="H42" s="12" t="n">
        <f aca="false">INDEX(Products!$J$5:$J$93,MATCH(D42,Products!$A$5:$A$93,0))</f>
        <v>115.5</v>
      </c>
      <c r="I42" s="12" t="n">
        <f aca="false">F42*H42</f>
        <v>115.5</v>
      </c>
    </row>
    <row r="43" customFormat="false" ht="15" hidden="false" customHeight="false" outlineLevel="0" collapsed="false">
      <c r="A43" s="10" t="s">
        <v>437</v>
      </c>
      <c r="B43" s="10" t="s">
        <v>330</v>
      </c>
      <c r="C43" s="10" t="s">
        <v>331</v>
      </c>
      <c r="D43" s="10" t="s">
        <v>356</v>
      </c>
      <c r="E43" s="10" t="s">
        <v>357</v>
      </c>
      <c r="F43" s="19" t="n">
        <v>1</v>
      </c>
      <c r="G43" s="10" t="s">
        <v>71</v>
      </c>
      <c r="H43" s="12" t="n">
        <f aca="false">INDEX(Products!$J$5:$J$93,MATCH(D43,Products!$A$5:$A$93,0))</f>
        <v>71.5</v>
      </c>
      <c r="I43" s="12" t="n">
        <f aca="false">F43*H43</f>
        <v>71.5</v>
      </c>
    </row>
    <row r="44" customFormat="false" ht="15" hidden="false" customHeight="false" outlineLevel="0" collapsed="false">
      <c r="A44" s="10" t="s">
        <v>437</v>
      </c>
      <c r="B44" s="10" t="s">
        <v>330</v>
      </c>
      <c r="C44" s="10" t="s">
        <v>331</v>
      </c>
      <c r="D44" s="10" t="s">
        <v>343</v>
      </c>
      <c r="E44" s="10" t="s">
        <v>344</v>
      </c>
      <c r="F44" s="19" t="n">
        <v>1</v>
      </c>
      <c r="G44" s="10" t="s">
        <v>71</v>
      </c>
      <c r="H44" s="12" t="n">
        <f aca="false">INDEX(Products!$J$5:$J$93,MATCH(D44,Products!$A$5:$A$93,0))</f>
        <v>88</v>
      </c>
      <c r="I44" s="12" t="n">
        <f aca="false">F44*H44</f>
        <v>88</v>
      </c>
    </row>
    <row r="45" customFormat="false" ht="15" hidden="false" customHeight="false" outlineLevel="0" collapsed="false">
      <c r="A45" s="10" t="s">
        <v>437</v>
      </c>
      <c r="B45" s="10" t="s">
        <v>330</v>
      </c>
      <c r="C45" s="10" t="s">
        <v>331</v>
      </c>
      <c r="D45" s="10" t="s">
        <v>365</v>
      </c>
      <c r="E45" s="10" t="s">
        <v>366</v>
      </c>
      <c r="F45" s="19" t="n">
        <v>1</v>
      </c>
      <c r="G45" s="10" t="s">
        <v>71</v>
      </c>
      <c r="H45" s="12" t="n">
        <f aca="false">INDEX(Products!$J$5:$J$93,MATCH(D45,Products!$A$5:$A$93,0))</f>
        <v>95</v>
      </c>
      <c r="I45" s="12" t="n">
        <f aca="false">F45*H45</f>
        <v>95</v>
      </c>
    </row>
    <row r="46" customFormat="false" ht="15" hidden="false" customHeight="false" outlineLevel="0" collapsed="false">
      <c r="A46" s="10" t="s">
        <v>437</v>
      </c>
      <c r="B46" s="10" t="s">
        <v>330</v>
      </c>
      <c r="C46" s="10" t="s">
        <v>331</v>
      </c>
      <c r="D46" s="10" t="s">
        <v>370</v>
      </c>
      <c r="E46" s="10" t="s">
        <v>371</v>
      </c>
      <c r="F46" s="19" t="n">
        <v>1</v>
      </c>
      <c r="G46" s="10" t="s">
        <v>71</v>
      </c>
      <c r="H46" s="12" t="n">
        <f aca="false">INDEX(Products!$J$5:$J$93,MATCH(D46,Products!$A$5:$A$93,0))</f>
        <v>110</v>
      </c>
      <c r="I46" s="12" t="n">
        <f aca="false">F46*H46</f>
        <v>110</v>
      </c>
    </row>
    <row r="47" customFormat="false" ht="15" hidden="false" customHeight="false" outlineLevel="0" collapsed="false">
      <c r="A47" s="10" t="s">
        <v>437</v>
      </c>
      <c r="B47" s="10" t="s">
        <v>330</v>
      </c>
      <c r="C47" s="10" t="s">
        <v>331</v>
      </c>
      <c r="D47" s="10" t="s">
        <v>385</v>
      </c>
      <c r="E47" s="10" t="s">
        <v>386</v>
      </c>
      <c r="F47" s="19" t="n">
        <v>1</v>
      </c>
      <c r="G47" s="10" t="s">
        <v>71</v>
      </c>
      <c r="H47" s="12" t="n">
        <f aca="false">INDEX(Products!$J$5:$J$93,MATCH(D47,Products!$A$5:$A$93,0))</f>
        <v>38</v>
      </c>
      <c r="I47" s="12" t="n">
        <f aca="false">F47*H47</f>
        <v>38</v>
      </c>
    </row>
    <row r="48" customFormat="false" ht="15" hidden="false" customHeight="false" outlineLevel="0" collapsed="false">
      <c r="A48" s="10" t="s">
        <v>437</v>
      </c>
      <c r="B48" s="10" t="s">
        <v>330</v>
      </c>
      <c r="C48" s="10" t="s">
        <v>331</v>
      </c>
      <c r="D48" s="10" t="s">
        <v>400</v>
      </c>
      <c r="E48" s="10" t="s">
        <v>401</v>
      </c>
      <c r="F48" s="19" t="n">
        <v>1</v>
      </c>
      <c r="G48" s="10" t="s">
        <v>71</v>
      </c>
      <c r="H48" s="12" t="n">
        <f aca="false">INDEX(Products!$J$5:$J$93,MATCH(D48,Products!$A$5:$A$93,0))</f>
        <v>15</v>
      </c>
      <c r="I48" s="12" t="n">
        <f aca="false">F48*H48</f>
        <v>15</v>
      </c>
    </row>
    <row r="49" customFormat="false" ht="15" hidden="false" customHeight="false" outlineLevel="0" collapsed="false">
      <c r="A49" s="10" t="s">
        <v>437</v>
      </c>
      <c r="B49" s="10" t="s">
        <v>330</v>
      </c>
      <c r="C49" s="10" t="s">
        <v>331</v>
      </c>
      <c r="D49" s="10" t="s">
        <v>395</v>
      </c>
      <c r="E49" s="10" t="s">
        <v>396</v>
      </c>
      <c r="F49" s="19" t="n">
        <v>1</v>
      </c>
      <c r="G49" s="10" t="s">
        <v>71</v>
      </c>
      <c r="H49" s="12" t="n">
        <f aca="false">INDEX(Products!$J$5:$J$93,MATCH(D49,Products!$A$5:$A$93,0))</f>
        <v>45</v>
      </c>
      <c r="I49" s="12" t="n">
        <f aca="false">F49*H49</f>
        <v>45</v>
      </c>
    </row>
    <row r="50" customFormat="false" ht="15" hidden="false" customHeight="false" outlineLevel="0" collapsed="false">
      <c r="A50" s="10" t="s">
        <v>437</v>
      </c>
      <c r="B50" s="10" t="s">
        <v>330</v>
      </c>
      <c r="C50" s="10" t="s">
        <v>331</v>
      </c>
      <c r="D50" s="10" t="s">
        <v>402</v>
      </c>
      <c r="E50" s="10" t="s">
        <v>403</v>
      </c>
      <c r="F50" s="19" t="n">
        <v>1</v>
      </c>
      <c r="G50" s="10" t="s">
        <v>71</v>
      </c>
      <c r="H50" s="12" t="n">
        <f aca="false">INDEX(Products!$J$5:$J$93,MATCH(D50,Products!$A$5:$A$93,0))</f>
        <v>4</v>
      </c>
      <c r="I50" s="12" t="n">
        <f aca="false">F50*H50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1"/>
    <col collapsed="false" customWidth="true" hidden="false" outlineLevel="0" max="4" min="4" style="0" width="17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8" t="s">
        <v>17</v>
      </c>
    </row>
    <row r="2" customFormat="false" ht="15" hidden="false" customHeight="false" outlineLevel="0" collapsed="false">
      <c r="A2" s="2" t="s">
        <v>438</v>
      </c>
    </row>
    <row r="4" customFormat="false" ht="15" hidden="false" customHeight="false" outlineLevel="0" collapsed="false">
      <c r="A4" s="9" t="s">
        <v>439</v>
      </c>
      <c r="B4" s="9" t="s">
        <v>440</v>
      </c>
      <c r="C4" s="9" t="s">
        <v>441</v>
      </c>
      <c r="D4" s="9" t="s">
        <v>442</v>
      </c>
      <c r="E4" s="9" t="s">
        <v>443</v>
      </c>
    </row>
    <row r="5" customFormat="false" ht="15" hidden="false" customHeight="false" outlineLevel="0" collapsed="false">
      <c r="A5" s="10" t="s">
        <v>444</v>
      </c>
      <c r="B5" s="10" t="s">
        <v>445</v>
      </c>
      <c r="C5" s="12" t="n">
        <v>240</v>
      </c>
      <c r="D5" s="20" t="n">
        <v>1</v>
      </c>
      <c r="E5" s="20" t="n">
        <v>0.85</v>
      </c>
    </row>
    <row r="6" customFormat="false" ht="15" hidden="false" customHeight="false" outlineLevel="0" collapsed="false">
      <c r="A6" s="10" t="s">
        <v>446</v>
      </c>
      <c r="B6" s="10" t="s">
        <v>447</v>
      </c>
      <c r="C6" s="12" t="n">
        <v>300</v>
      </c>
      <c r="D6" s="20" t="n">
        <v>1</v>
      </c>
      <c r="E6" s="20" t="n">
        <v>0.85</v>
      </c>
    </row>
    <row r="7" customFormat="false" ht="15" hidden="false" customHeight="false" outlineLevel="0" collapsed="false">
      <c r="A7" s="10" t="s">
        <v>448</v>
      </c>
      <c r="B7" s="10" t="s">
        <v>449</v>
      </c>
      <c r="C7" s="12" t="n">
        <v>360</v>
      </c>
      <c r="D7" s="20" t="n">
        <v>1</v>
      </c>
      <c r="E7" s="20" t="n">
        <v>0.85</v>
      </c>
    </row>
    <row r="8" customFormat="false" ht="15" hidden="false" customHeight="false" outlineLevel="0" collapsed="false">
      <c r="A8" s="10" t="s">
        <v>450</v>
      </c>
      <c r="B8" s="10" t="s">
        <v>451</v>
      </c>
      <c r="C8" s="12" t="n">
        <v>200</v>
      </c>
      <c r="D8" s="20" t="n">
        <v>1</v>
      </c>
      <c r="E8" s="20" t="n">
        <v>0.85</v>
      </c>
    </row>
    <row r="9" customFormat="false" ht="15" hidden="false" customHeight="false" outlineLevel="0" collapsed="false">
      <c r="A9" s="10" t="s">
        <v>452</v>
      </c>
      <c r="B9" s="10" t="s">
        <v>453</v>
      </c>
      <c r="C9" s="12" t="n">
        <v>180</v>
      </c>
      <c r="D9" s="20" t="n">
        <v>1</v>
      </c>
      <c r="E9" s="20" t="n"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7" min="6" style="0" width="15"/>
  </cols>
  <sheetData>
    <row r="1" customFormat="false" ht="16.15" hidden="false" customHeight="false" outlineLevel="0" collapsed="false">
      <c r="A1" s="8" t="s">
        <v>454</v>
      </c>
    </row>
    <row r="2" customFormat="false" ht="15" hidden="false" customHeight="false" outlineLevel="0" collapsed="false">
      <c r="A2" s="2" t="s">
        <v>455</v>
      </c>
    </row>
    <row r="4" customFormat="false" ht="15" hidden="false" customHeight="false" outlineLevel="0" collapsed="false">
      <c r="A4" s="9" t="s">
        <v>419</v>
      </c>
      <c r="B4" s="9" t="s">
        <v>456</v>
      </c>
      <c r="C4" s="9" t="s">
        <v>457</v>
      </c>
      <c r="D4" s="9" t="s">
        <v>440</v>
      </c>
      <c r="E4" s="9" t="s">
        <v>458</v>
      </c>
      <c r="F4" s="9" t="s">
        <v>459</v>
      </c>
      <c r="G4" s="9" t="s">
        <v>460</v>
      </c>
    </row>
    <row r="5" customFormat="false" ht="15" hidden="false" customHeight="false" outlineLevel="0" collapsed="false">
      <c r="A5" s="10" t="s">
        <v>427</v>
      </c>
      <c r="B5" s="10" t="n">
        <v>10</v>
      </c>
      <c r="C5" s="10" t="s">
        <v>461</v>
      </c>
      <c r="D5" s="10" t="s">
        <v>446</v>
      </c>
      <c r="E5" s="21" t="n">
        <v>20</v>
      </c>
      <c r="F5" s="22" t="n">
        <f aca="false">INDEX('Work Centers'!$C$5:$C$9,MATCH(D5,'Work Centers'!$A$5:$A$9,0))</f>
        <v>300</v>
      </c>
      <c r="G5" s="12" t="n">
        <f aca="false">E5/60*F5</f>
        <v>100</v>
      </c>
    </row>
    <row r="6" customFormat="false" ht="15" hidden="false" customHeight="false" outlineLevel="0" collapsed="false">
      <c r="A6" s="10" t="s">
        <v>427</v>
      </c>
      <c r="B6" s="10" t="n">
        <v>20</v>
      </c>
      <c r="C6" s="10" t="s">
        <v>462</v>
      </c>
      <c r="D6" s="10" t="s">
        <v>452</v>
      </c>
      <c r="E6" s="21" t="n">
        <v>5</v>
      </c>
      <c r="F6" s="22" t="n">
        <f aca="false">INDEX('Work Centers'!$C$5:$C$9,MATCH(D6,'Work Centers'!$A$5:$A$9,0))</f>
        <v>180</v>
      </c>
      <c r="G6" s="12" t="n">
        <f aca="false">E6/60*F6</f>
        <v>15</v>
      </c>
    </row>
    <row r="7" customFormat="false" ht="15" hidden="false" customHeight="false" outlineLevel="0" collapsed="false">
      <c r="A7" s="10" t="s">
        <v>428</v>
      </c>
      <c r="B7" s="10" t="n">
        <v>10</v>
      </c>
      <c r="C7" s="10" t="s">
        <v>463</v>
      </c>
      <c r="D7" s="10" t="s">
        <v>446</v>
      </c>
      <c r="E7" s="21" t="n">
        <v>35</v>
      </c>
      <c r="F7" s="22" t="n">
        <f aca="false">INDEX('Work Centers'!$C$5:$C$9,MATCH(D7,'Work Centers'!$A$5:$A$9,0))</f>
        <v>300</v>
      </c>
      <c r="G7" s="12" t="n">
        <f aca="false">E7/60*F7</f>
        <v>175</v>
      </c>
    </row>
    <row r="8" customFormat="false" ht="15" hidden="false" customHeight="false" outlineLevel="0" collapsed="false">
      <c r="A8" s="10" t="s">
        <v>428</v>
      </c>
      <c r="B8" s="10" t="n">
        <v>20</v>
      </c>
      <c r="C8" s="10" t="s">
        <v>462</v>
      </c>
      <c r="D8" s="10" t="s">
        <v>452</v>
      </c>
      <c r="E8" s="21" t="n">
        <v>10</v>
      </c>
      <c r="F8" s="22" t="n">
        <f aca="false">INDEX('Work Centers'!$C$5:$C$9,MATCH(D8,'Work Centers'!$A$5:$A$9,0))</f>
        <v>180</v>
      </c>
      <c r="G8" s="12" t="n">
        <f aca="false">E8/60*F8</f>
        <v>30</v>
      </c>
    </row>
    <row r="9" customFormat="false" ht="15" hidden="false" customHeight="false" outlineLevel="0" collapsed="false">
      <c r="A9" s="10" t="s">
        <v>429</v>
      </c>
      <c r="B9" s="10" t="n">
        <v>10</v>
      </c>
      <c r="C9" s="10" t="s">
        <v>464</v>
      </c>
      <c r="D9" s="10" t="s">
        <v>444</v>
      </c>
      <c r="E9" s="21" t="n">
        <v>20</v>
      </c>
      <c r="F9" s="22" t="n">
        <f aca="false">INDEX('Work Centers'!$C$5:$C$9,MATCH(D9,'Work Centers'!$A$5:$A$9,0))</f>
        <v>240</v>
      </c>
      <c r="G9" s="12" t="n">
        <f aca="false">E9/60*F9</f>
        <v>80</v>
      </c>
    </row>
    <row r="10" customFormat="false" ht="15" hidden="false" customHeight="false" outlineLevel="0" collapsed="false">
      <c r="A10" s="10" t="s">
        <v>429</v>
      </c>
      <c r="B10" s="10" t="n">
        <v>20</v>
      </c>
      <c r="C10" s="10" t="s">
        <v>465</v>
      </c>
      <c r="D10" s="10" t="s">
        <v>452</v>
      </c>
      <c r="E10" s="21" t="n">
        <v>5</v>
      </c>
      <c r="F10" s="22" t="n">
        <f aca="false">INDEX('Work Centers'!$C$5:$C$9,MATCH(D10,'Work Centers'!$A$5:$A$9,0))</f>
        <v>180</v>
      </c>
      <c r="G10" s="12" t="n">
        <f aca="false">E10/60*F10</f>
        <v>15</v>
      </c>
    </row>
    <row r="11" customFormat="false" ht="15" hidden="false" customHeight="false" outlineLevel="0" collapsed="false">
      <c r="A11" s="10" t="s">
        <v>430</v>
      </c>
      <c r="B11" s="10" t="n">
        <v>10</v>
      </c>
      <c r="C11" s="10" t="s">
        <v>466</v>
      </c>
      <c r="D11" s="10" t="s">
        <v>448</v>
      </c>
      <c r="E11" s="21" t="n">
        <v>60</v>
      </c>
      <c r="F11" s="22" t="n">
        <f aca="false">INDEX('Work Centers'!$C$5:$C$9,MATCH(D11,'Work Centers'!$A$5:$A$9,0))</f>
        <v>360</v>
      </c>
      <c r="G11" s="12" t="n">
        <f aca="false">E11/60*F11</f>
        <v>360</v>
      </c>
    </row>
    <row r="12" customFormat="false" ht="15" hidden="false" customHeight="false" outlineLevel="0" collapsed="false">
      <c r="A12" s="10" t="s">
        <v>430</v>
      </c>
      <c r="B12" s="10" t="n">
        <v>20</v>
      </c>
      <c r="C12" s="10" t="s">
        <v>467</v>
      </c>
      <c r="D12" s="10" t="s">
        <v>452</v>
      </c>
      <c r="E12" s="21" t="n">
        <v>10</v>
      </c>
      <c r="F12" s="22" t="n">
        <f aca="false">INDEX('Work Centers'!$C$5:$C$9,MATCH(D12,'Work Centers'!$A$5:$A$9,0))</f>
        <v>180</v>
      </c>
      <c r="G12" s="12" t="n">
        <f aca="false">E12/60*F12</f>
        <v>30</v>
      </c>
    </row>
    <row r="13" customFormat="false" ht="15" hidden="false" customHeight="false" outlineLevel="0" collapsed="false">
      <c r="A13" s="10" t="s">
        <v>431</v>
      </c>
      <c r="B13" s="10" t="n">
        <v>10</v>
      </c>
      <c r="C13" s="10" t="s">
        <v>466</v>
      </c>
      <c r="D13" s="10" t="s">
        <v>448</v>
      </c>
      <c r="E13" s="21" t="n">
        <v>20</v>
      </c>
      <c r="F13" s="22" t="n">
        <f aca="false">INDEX('Work Centers'!$C$5:$C$9,MATCH(D13,'Work Centers'!$A$5:$A$9,0))</f>
        <v>360</v>
      </c>
      <c r="G13" s="12" t="n">
        <f aca="false">E13/60*F13</f>
        <v>120</v>
      </c>
    </row>
    <row r="14" customFormat="false" ht="15" hidden="false" customHeight="false" outlineLevel="0" collapsed="false">
      <c r="A14" s="10" t="s">
        <v>431</v>
      </c>
      <c r="B14" s="10" t="n">
        <v>20</v>
      </c>
      <c r="C14" s="10" t="s">
        <v>467</v>
      </c>
      <c r="D14" s="10" t="s">
        <v>452</v>
      </c>
      <c r="E14" s="21" t="n">
        <v>5</v>
      </c>
      <c r="F14" s="22" t="n">
        <f aca="false">INDEX('Work Centers'!$C$5:$C$9,MATCH(D14,'Work Centers'!$A$5:$A$9,0))</f>
        <v>180</v>
      </c>
      <c r="G14" s="12" t="n">
        <f aca="false">E14/60*F14</f>
        <v>15</v>
      </c>
    </row>
    <row r="15" customFormat="false" ht="15" hidden="false" customHeight="false" outlineLevel="0" collapsed="false">
      <c r="A15" s="10" t="s">
        <v>432</v>
      </c>
      <c r="B15" s="10" t="n">
        <v>10</v>
      </c>
      <c r="C15" s="10" t="s">
        <v>468</v>
      </c>
      <c r="D15" s="10" t="s">
        <v>450</v>
      </c>
      <c r="E15" s="21" t="n">
        <v>8</v>
      </c>
      <c r="F15" s="22" t="n">
        <f aca="false">INDEX('Work Centers'!$C$5:$C$9,MATCH(D15,'Work Centers'!$A$5:$A$9,0))</f>
        <v>200</v>
      </c>
      <c r="G15" s="12" t="n">
        <f aca="false">E15/60*F15</f>
        <v>26.6666666666667</v>
      </c>
    </row>
    <row r="16" customFormat="false" ht="15" hidden="false" customHeight="false" outlineLevel="0" collapsed="false">
      <c r="A16" s="10" t="s">
        <v>433</v>
      </c>
      <c r="B16" s="10" t="n">
        <v>10</v>
      </c>
      <c r="C16" s="10" t="s">
        <v>469</v>
      </c>
      <c r="D16" s="10" t="s">
        <v>446</v>
      </c>
      <c r="E16" s="21" t="n">
        <v>15</v>
      </c>
      <c r="F16" s="22" t="n">
        <f aca="false">INDEX('Work Centers'!$C$5:$C$9,MATCH(D16,'Work Centers'!$A$5:$A$9,0))</f>
        <v>300</v>
      </c>
      <c r="G16" s="12" t="n">
        <f aca="false">E16/60*F16</f>
        <v>75</v>
      </c>
    </row>
    <row r="17" customFormat="false" ht="15" hidden="false" customHeight="false" outlineLevel="0" collapsed="false">
      <c r="A17" s="10" t="s">
        <v>433</v>
      </c>
      <c r="B17" s="10" t="n">
        <v>20</v>
      </c>
      <c r="C17" s="10" t="s">
        <v>470</v>
      </c>
      <c r="D17" s="10" t="s">
        <v>452</v>
      </c>
      <c r="E17" s="21" t="n">
        <v>5</v>
      </c>
      <c r="F17" s="22" t="n">
        <f aca="false">INDEX('Work Centers'!$C$5:$C$9,MATCH(D17,'Work Centers'!$A$5:$A$9,0))</f>
        <v>180</v>
      </c>
      <c r="G17" s="12" t="n">
        <f aca="false">E17/60*F17</f>
        <v>15</v>
      </c>
    </row>
    <row r="18" customFormat="false" ht="15" hidden="false" customHeight="false" outlineLevel="0" collapsed="false">
      <c r="A18" s="10" t="s">
        <v>434</v>
      </c>
      <c r="B18" s="10" t="n">
        <v>10</v>
      </c>
      <c r="C18" s="10" t="s">
        <v>471</v>
      </c>
      <c r="D18" s="10" t="s">
        <v>448</v>
      </c>
      <c r="E18" s="21" t="n">
        <v>25</v>
      </c>
      <c r="F18" s="22" t="n">
        <f aca="false">INDEX('Work Centers'!$C$5:$C$9,MATCH(D18,'Work Centers'!$A$5:$A$9,0))</f>
        <v>360</v>
      </c>
      <c r="G18" s="12" t="n">
        <f aca="false">E18/60*F18</f>
        <v>150</v>
      </c>
    </row>
    <row r="19" customFormat="false" ht="15" hidden="false" customHeight="false" outlineLevel="0" collapsed="false">
      <c r="A19" s="10" t="s">
        <v>434</v>
      </c>
      <c r="B19" s="10" t="n">
        <v>20</v>
      </c>
      <c r="C19" s="10" t="s">
        <v>472</v>
      </c>
      <c r="D19" s="10" t="s">
        <v>452</v>
      </c>
      <c r="E19" s="21" t="n">
        <v>5</v>
      </c>
      <c r="F19" s="22" t="n">
        <f aca="false">INDEX('Work Centers'!$C$5:$C$9,MATCH(D19,'Work Centers'!$A$5:$A$9,0))</f>
        <v>180</v>
      </c>
      <c r="G19" s="12" t="n">
        <f aca="false">E19/60*F19</f>
        <v>15</v>
      </c>
    </row>
    <row r="20" customFormat="false" ht="15" hidden="false" customHeight="false" outlineLevel="0" collapsed="false">
      <c r="A20" s="10" t="s">
        <v>435</v>
      </c>
      <c r="B20" s="10" t="n">
        <v>10</v>
      </c>
      <c r="C20" s="10" t="s">
        <v>473</v>
      </c>
      <c r="D20" s="10" t="s">
        <v>448</v>
      </c>
      <c r="E20" s="21" t="n">
        <v>30</v>
      </c>
      <c r="F20" s="22" t="n">
        <f aca="false">INDEX('Work Centers'!$C$5:$C$9,MATCH(D20,'Work Centers'!$A$5:$A$9,0))</f>
        <v>360</v>
      </c>
      <c r="G20" s="12" t="n">
        <f aca="false">E20/60*F20</f>
        <v>180</v>
      </c>
    </row>
    <row r="21" customFormat="false" ht="15" hidden="false" customHeight="false" outlineLevel="0" collapsed="false">
      <c r="A21" s="10" t="s">
        <v>435</v>
      </c>
      <c r="B21" s="10" t="n">
        <v>20</v>
      </c>
      <c r="C21" s="10" t="s">
        <v>474</v>
      </c>
      <c r="D21" s="10" t="s">
        <v>452</v>
      </c>
      <c r="E21" s="21" t="n">
        <v>5</v>
      </c>
      <c r="F21" s="22" t="n">
        <f aca="false">INDEX('Work Centers'!$C$5:$C$9,MATCH(D21,'Work Centers'!$A$5:$A$9,0))</f>
        <v>180</v>
      </c>
      <c r="G21" s="12" t="n">
        <f aca="false">E21/60*F21</f>
        <v>15</v>
      </c>
    </row>
    <row r="22" customFormat="false" ht="15" hidden="false" customHeight="false" outlineLevel="0" collapsed="false">
      <c r="A22" s="10" t="s">
        <v>436</v>
      </c>
      <c r="B22" s="10" t="n">
        <v>10</v>
      </c>
      <c r="C22" s="10" t="s">
        <v>475</v>
      </c>
      <c r="D22" s="10" t="s">
        <v>444</v>
      </c>
      <c r="E22" s="21" t="n">
        <v>10</v>
      </c>
      <c r="F22" s="22" t="n">
        <f aca="false">INDEX('Work Centers'!$C$5:$C$9,MATCH(D22,'Work Centers'!$A$5:$A$9,0))</f>
        <v>240</v>
      </c>
      <c r="G22" s="12" t="n">
        <f aca="false">E22/60*F22</f>
        <v>40</v>
      </c>
    </row>
    <row r="23" customFormat="false" ht="15" hidden="false" customHeight="false" outlineLevel="0" collapsed="false">
      <c r="A23" s="10" t="s">
        <v>436</v>
      </c>
      <c r="B23" s="10" t="n">
        <v>20</v>
      </c>
      <c r="C23" s="10" t="s">
        <v>476</v>
      </c>
      <c r="D23" s="10" t="s">
        <v>452</v>
      </c>
      <c r="E23" s="21" t="n">
        <v>5</v>
      </c>
      <c r="F23" s="22" t="n">
        <f aca="false">INDEX('Work Centers'!$C$5:$C$9,MATCH(D23,'Work Centers'!$A$5:$A$9,0))</f>
        <v>180</v>
      </c>
      <c r="G23" s="12" t="n">
        <f aca="false">E23/60*F23</f>
        <v>15</v>
      </c>
    </row>
    <row r="24" customFormat="false" ht="15" hidden="false" customHeight="false" outlineLevel="0" collapsed="false">
      <c r="A24" s="10" t="s">
        <v>437</v>
      </c>
      <c r="B24" s="10" t="n">
        <v>10</v>
      </c>
      <c r="C24" s="10" t="s">
        <v>477</v>
      </c>
      <c r="D24" s="10" t="s">
        <v>444</v>
      </c>
      <c r="E24" s="21" t="n">
        <v>30</v>
      </c>
      <c r="F24" s="22" t="n">
        <f aca="false">INDEX('Work Centers'!$C$5:$C$9,MATCH(D24,'Work Centers'!$A$5:$A$9,0))</f>
        <v>240</v>
      </c>
      <c r="G24" s="12" t="n">
        <f aca="false">E24/60*F24</f>
        <v>120</v>
      </c>
    </row>
    <row r="25" customFormat="false" ht="15" hidden="false" customHeight="false" outlineLevel="0" collapsed="false">
      <c r="A25" s="10" t="s">
        <v>437</v>
      </c>
      <c r="B25" s="10" t="n">
        <v>20</v>
      </c>
      <c r="C25" s="10" t="s">
        <v>478</v>
      </c>
      <c r="D25" s="10" t="s">
        <v>452</v>
      </c>
      <c r="E25" s="21" t="n">
        <v>10</v>
      </c>
      <c r="F25" s="22" t="n">
        <f aca="false">INDEX('Work Centers'!$C$5:$C$9,MATCH(D25,'Work Centers'!$A$5:$A$9,0))</f>
        <v>180</v>
      </c>
      <c r="G25" s="12" t="n">
        <f aca="false">E25/60*F25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48"/>
    <col collapsed="false" customWidth="true" hidden="false" outlineLevel="0" max="5" min="4" style="0" width="17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8" t="s">
        <v>479</v>
      </c>
    </row>
    <row r="2" customFormat="false" ht="15" hidden="false" customHeight="false" outlineLevel="0" collapsed="false">
      <c r="A2" s="2" t="s">
        <v>480</v>
      </c>
    </row>
    <row r="4" customFormat="false" ht="15" hidden="false" customHeight="false" outlineLevel="0" collapsed="false">
      <c r="A4" s="9" t="s">
        <v>419</v>
      </c>
      <c r="B4" s="9" t="s">
        <v>481</v>
      </c>
      <c r="C4" s="9" t="s">
        <v>149</v>
      </c>
      <c r="D4" s="9" t="s">
        <v>482</v>
      </c>
      <c r="E4" s="9" t="s">
        <v>483</v>
      </c>
      <c r="F4" s="9" t="s">
        <v>484</v>
      </c>
      <c r="G4" s="9" t="s">
        <v>485</v>
      </c>
      <c r="H4" s="9" t="s">
        <v>486</v>
      </c>
    </row>
    <row r="5" customFormat="false" ht="15" hidden="false" customHeight="false" outlineLevel="0" collapsed="false">
      <c r="A5" s="10" t="s">
        <v>427</v>
      </c>
      <c r="B5" s="10" t="s">
        <v>318</v>
      </c>
      <c r="C5" s="10" t="s">
        <v>319</v>
      </c>
      <c r="D5" s="22" t="n">
        <f aca="false">SUMIF('Bills of Materials'!$A$5:$A$50,A5,'Bills of Materials'!$I$5:$I$50)</f>
        <v>286.75</v>
      </c>
      <c r="E5" s="12" t="n">
        <f aca="false">SUMIF(Operations!$A$5:$A$25,A5,Operations!$G$5:$G$25)</f>
        <v>115</v>
      </c>
      <c r="F5" s="12" t="n">
        <f aca="false">D5+E5</f>
        <v>401.75</v>
      </c>
      <c r="G5" s="12" t="n">
        <f aca="false">INDEX(Products!$J$5:$J$93,MATCH(B5,Products!$A$5:$A$93,0))</f>
        <v>401.75</v>
      </c>
      <c r="H5" s="12" t="n">
        <f aca="false">ROUND(F5-G5,2)</f>
        <v>0</v>
      </c>
    </row>
    <row r="6" customFormat="false" ht="15" hidden="false" customHeight="false" outlineLevel="0" collapsed="false">
      <c r="A6" s="10" t="s">
        <v>428</v>
      </c>
      <c r="B6" s="10" t="s">
        <v>298</v>
      </c>
      <c r="C6" s="10" t="s">
        <v>299</v>
      </c>
      <c r="D6" s="22" t="n">
        <f aca="false">SUMIF('Bills of Materials'!$A$5:$A$50,A6,'Bills of Materials'!$I$5:$I$50)</f>
        <v>651.5</v>
      </c>
      <c r="E6" s="12" t="n">
        <f aca="false">SUMIF(Operations!$A$5:$A$25,A6,Operations!$G$5:$G$25)</f>
        <v>205</v>
      </c>
      <c r="F6" s="12" t="n">
        <f aca="false">D6+E6</f>
        <v>856.5</v>
      </c>
      <c r="G6" s="12" t="n">
        <f aca="false">INDEX(Products!$J$5:$J$93,MATCH(B6,Products!$A$5:$A$93,0))</f>
        <v>856.5</v>
      </c>
      <c r="H6" s="12" t="n">
        <f aca="false">ROUND(F6-G6,2)</f>
        <v>0</v>
      </c>
    </row>
    <row r="7" customFormat="false" ht="15" hidden="false" customHeight="false" outlineLevel="0" collapsed="false">
      <c r="A7" s="10" t="s">
        <v>429</v>
      </c>
      <c r="B7" s="10" t="s">
        <v>303</v>
      </c>
      <c r="C7" s="10" t="s">
        <v>304</v>
      </c>
      <c r="D7" s="22" t="n">
        <f aca="false">SUMIF('Bills of Materials'!$A$5:$A$50,A7,'Bills of Materials'!$I$5:$I$50)</f>
        <v>109</v>
      </c>
      <c r="E7" s="12" t="n">
        <f aca="false">SUMIF(Operations!$A$5:$A$25,A7,Operations!$G$5:$G$25)</f>
        <v>95</v>
      </c>
      <c r="F7" s="12" t="n">
        <f aca="false">D7+E7</f>
        <v>204</v>
      </c>
      <c r="G7" s="12" t="n">
        <f aca="false">INDEX(Products!$J$5:$J$93,MATCH(B7,Products!$A$5:$A$93,0))</f>
        <v>204</v>
      </c>
      <c r="H7" s="12" t="n">
        <f aca="false">ROUND(F7-G7,2)</f>
        <v>0</v>
      </c>
    </row>
    <row r="8" customFormat="false" ht="15" hidden="false" customHeight="false" outlineLevel="0" collapsed="false">
      <c r="A8" s="10" t="s">
        <v>430</v>
      </c>
      <c r="B8" s="10" t="s">
        <v>306</v>
      </c>
      <c r="C8" s="10" t="s">
        <v>307</v>
      </c>
      <c r="D8" s="22" t="n">
        <f aca="false">SUMIF('Bills of Materials'!$A$5:$A$50,A8,'Bills of Materials'!$I$5:$I$50)</f>
        <v>987</v>
      </c>
      <c r="E8" s="12" t="n">
        <f aca="false">SUMIF(Operations!$A$5:$A$25,A8,Operations!$G$5:$G$25)</f>
        <v>390</v>
      </c>
      <c r="F8" s="12" t="n">
        <f aca="false">D8+E8</f>
        <v>1377</v>
      </c>
      <c r="G8" s="12" t="n">
        <f aca="false">INDEX(Products!$J$5:$J$93,MATCH(B8,Products!$A$5:$A$93,0))</f>
        <v>1377</v>
      </c>
      <c r="H8" s="12" t="n">
        <f aca="false">ROUND(F8-G8,2)</f>
        <v>0</v>
      </c>
    </row>
    <row r="9" customFormat="false" ht="15" hidden="false" customHeight="false" outlineLevel="0" collapsed="false">
      <c r="A9" s="10" t="s">
        <v>431</v>
      </c>
      <c r="B9" s="10" t="s">
        <v>309</v>
      </c>
      <c r="C9" s="10" t="s">
        <v>310</v>
      </c>
      <c r="D9" s="22" t="n">
        <f aca="false">SUMIF('Bills of Materials'!$A$5:$A$50,A9,'Bills of Materials'!$I$5:$I$50)</f>
        <v>316</v>
      </c>
      <c r="E9" s="12" t="n">
        <f aca="false">SUMIF(Operations!$A$5:$A$25,A9,Operations!$G$5:$G$25)</f>
        <v>135</v>
      </c>
      <c r="F9" s="12" t="n">
        <f aca="false">D9+E9</f>
        <v>451</v>
      </c>
      <c r="G9" s="12" t="n">
        <f aca="false">INDEX(Products!$J$5:$J$93,MATCH(B9,Products!$A$5:$A$93,0))</f>
        <v>451</v>
      </c>
      <c r="H9" s="12" t="n">
        <f aca="false">ROUND(F9-G9,2)</f>
        <v>0</v>
      </c>
    </row>
    <row r="10" customFormat="false" ht="15" hidden="false" customHeight="false" outlineLevel="0" collapsed="false">
      <c r="A10" s="10" t="s">
        <v>432</v>
      </c>
      <c r="B10" s="10" t="s">
        <v>312</v>
      </c>
      <c r="C10" s="10" t="s">
        <v>313</v>
      </c>
      <c r="D10" s="22" t="n">
        <f aca="false">SUMIF('Bills of Materials'!$A$5:$A$50,A10,'Bills of Materials'!$I$5:$I$50)</f>
        <v>144</v>
      </c>
      <c r="E10" s="12" t="n">
        <f aca="false">SUMIF(Operations!$A$5:$A$25,A10,Operations!$G$5:$G$25)</f>
        <v>26.6666666666667</v>
      </c>
      <c r="F10" s="12" t="n">
        <f aca="false">D10+E10</f>
        <v>170.666666666667</v>
      </c>
      <c r="G10" s="12" t="n">
        <f aca="false">INDEX(Products!$J$5:$J$93,MATCH(B10,Products!$A$5:$A$93,0))</f>
        <v>170.67</v>
      </c>
      <c r="H10" s="12" t="n">
        <f aca="false">ROUND(F10-G10,2)</f>
        <v>-0</v>
      </c>
    </row>
    <row r="11" customFormat="false" ht="15" hidden="false" customHeight="false" outlineLevel="0" collapsed="false">
      <c r="A11" s="10" t="s">
        <v>433</v>
      </c>
      <c r="B11" s="10" t="s">
        <v>315</v>
      </c>
      <c r="C11" s="10" t="s">
        <v>316</v>
      </c>
      <c r="D11" s="22" t="n">
        <f aca="false">SUMIF('Bills of Materials'!$A$5:$A$50,A11,'Bills of Materials'!$I$5:$I$50)</f>
        <v>268</v>
      </c>
      <c r="E11" s="12" t="n">
        <f aca="false">SUMIF(Operations!$A$5:$A$25,A11,Operations!$G$5:$G$25)</f>
        <v>90</v>
      </c>
      <c r="F11" s="12" t="n">
        <f aca="false">D11+E11</f>
        <v>358</v>
      </c>
      <c r="G11" s="12" t="n">
        <f aca="false">INDEX(Products!$J$5:$J$93,MATCH(B11,Products!$A$5:$A$93,0))</f>
        <v>358</v>
      </c>
      <c r="H11" s="12" t="n">
        <f aca="false">ROUND(F11-G11,2)</f>
        <v>0</v>
      </c>
    </row>
    <row r="12" customFormat="false" ht="15" hidden="false" customHeight="false" outlineLevel="0" collapsed="false">
      <c r="A12" s="10" t="s">
        <v>434</v>
      </c>
      <c r="B12" s="10" t="s">
        <v>321</v>
      </c>
      <c r="C12" s="10" t="s">
        <v>322</v>
      </c>
      <c r="D12" s="22" t="n">
        <f aca="false">SUMIF('Bills of Materials'!$A$5:$A$50,A12,'Bills of Materials'!$I$5:$I$50)</f>
        <v>906</v>
      </c>
      <c r="E12" s="12" t="n">
        <f aca="false">SUMIF(Operations!$A$5:$A$25,A12,Operations!$G$5:$G$25)</f>
        <v>165</v>
      </c>
      <c r="F12" s="12" t="n">
        <f aca="false">D12+E12</f>
        <v>1071</v>
      </c>
      <c r="G12" s="12" t="n">
        <f aca="false">INDEX(Products!$J$5:$J$93,MATCH(B12,Products!$A$5:$A$93,0))</f>
        <v>1071</v>
      </c>
      <c r="H12" s="12" t="n">
        <f aca="false">ROUND(F12-G12,2)</f>
        <v>0</v>
      </c>
    </row>
    <row r="13" customFormat="false" ht="15" hidden="false" customHeight="false" outlineLevel="0" collapsed="false">
      <c r="A13" s="10" t="s">
        <v>435</v>
      </c>
      <c r="B13" s="10" t="s">
        <v>324</v>
      </c>
      <c r="C13" s="10" t="s">
        <v>325</v>
      </c>
      <c r="D13" s="22" t="n">
        <f aca="false">SUMIF('Bills of Materials'!$A$5:$A$50,A13,'Bills of Materials'!$I$5:$I$50)</f>
        <v>435</v>
      </c>
      <c r="E13" s="12" t="n">
        <f aca="false">SUMIF(Operations!$A$5:$A$25,A13,Operations!$G$5:$G$25)</f>
        <v>195</v>
      </c>
      <c r="F13" s="12" t="n">
        <f aca="false">D13+E13</f>
        <v>630</v>
      </c>
      <c r="G13" s="12" t="n">
        <f aca="false">INDEX(Products!$J$5:$J$93,MATCH(B13,Products!$A$5:$A$93,0))</f>
        <v>630</v>
      </c>
      <c r="H13" s="12" t="n">
        <f aca="false">ROUND(F13-G13,2)</f>
        <v>0</v>
      </c>
    </row>
    <row r="14" customFormat="false" ht="15" hidden="false" customHeight="false" outlineLevel="0" collapsed="false">
      <c r="A14" s="10" t="s">
        <v>436</v>
      </c>
      <c r="B14" s="10" t="s">
        <v>327</v>
      </c>
      <c r="C14" s="10" t="s">
        <v>328</v>
      </c>
      <c r="D14" s="22" t="n">
        <f aca="false">SUMIF('Bills of Materials'!$A$5:$A$50,A14,'Bills of Materials'!$I$5:$I$50)</f>
        <v>179</v>
      </c>
      <c r="E14" s="12" t="n">
        <f aca="false">SUMIF(Operations!$A$5:$A$25,A14,Operations!$G$5:$G$25)</f>
        <v>55</v>
      </c>
      <c r="F14" s="12" t="n">
        <f aca="false">D14+E14</f>
        <v>234</v>
      </c>
      <c r="G14" s="12" t="n">
        <f aca="false">INDEX(Products!$J$5:$J$93,MATCH(B14,Products!$A$5:$A$93,0))</f>
        <v>234</v>
      </c>
      <c r="H14" s="12" t="n">
        <f aca="false">ROUND(F14-G14,2)</f>
        <v>0</v>
      </c>
    </row>
    <row r="15" customFormat="false" ht="15" hidden="false" customHeight="false" outlineLevel="0" collapsed="false">
      <c r="A15" s="10" t="s">
        <v>437</v>
      </c>
      <c r="B15" s="10" t="s">
        <v>330</v>
      </c>
      <c r="C15" s="10" t="s">
        <v>331</v>
      </c>
      <c r="D15" s="22" t="n">
        <f aca="false">SUMIF('Bills of Materials'!$A$5:$A$50,A15,'Bills of Materials'!$I$5:$I$50)</f>
        <v>1583.25</v>
      </c>
      <c r="E15" s="12" t="n">
        <f aca="false">SUMIF(Operations!$A$5:$A$25,A15,Operations!$G$5:$G$25)</f>
        <v>150</v>
      </c>
      <c r="F15" s="12" t="n">
        <f aca="false">D15+E15</f>
        <v>1733.25</v>
      </c>
      <c r="G15" s="12" t="n">
        <f aca="false">INDEX(Products!$J$5:$J$93,MATCH(B15,Products!$A$5:$A$93,0))</f>
        <v>1733.25</v>
      </c>
      <c r="H15" s="12" t="n">
        <f aca="false">ROUND(F15-G15,2)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50"/>
    <col collapsed="false" customWidth="true" hidden="false" outlineLevel="0" max="6" min="6" style="0" width="20"/>
    <col collapsed="false" customWidth="true" hidden="false" outlineLevel="0" max="7" min="7" style="0" width="19"/>
  </cols>
  <sheetData>
    <row r="1" customFormat="false" ht="16.15" hidden="false" customHeight="false" outlineLevel="0" collapsed="false">
      <c r="A1" s="8" t="s">
        <v>24</v>
      </c>
    </row>
    <row r="2" customFormat="false" ht="15" hidden="false" customHeight="false" outlineLevel="0" collapsed="false">
      <c r="A2" s="2" t="s">
        <v>487</v>
      </c>
    </row>
    <row r="4" customFormat="false" ht="15" hidden="false" customHeight="false" outlineLevel="0" collapsed="false">
      <c r="A4" s="9" t="s">
        <v>488</v>
      </c>
      <c r="B4" s="9" t="s">
        <v>489</v>
      </c>
      <c r="C4" s="9" t="s">
        <v>490</v>
      </c>
      <c r="D4" s="9" t="s">
        <v>491</v>
      </c>
      <c r="E4" s="9" t="s">
        <v>492</v>
      </c>
      <c r="F4" s="9" t="s">
        <v>493</v>
      </c>
      <c r="G4" s="9" t="s">
        <v>494</v>
      </c>
    </row>
    <row r="5" customFormat="false" ht="15" hidden="false" customHeight="false" outlineLevel="0" collapsed="false">
      <c r="A5" s="10" t="s">
        <v>495</v>
      </c>
      <c r="B5" s="10" t="s">
        <v>496</v>
      </c>
      <c r="C5" s="20" t="n">
        <v>0</v>
      </c>
      <c r="D5" s="14" t="n">
        <v>1</v>
      </c>
      <c r="E5" s="11" t="s">
        <v>497</v>
      </c>
      <c r="F5" s="12" t="n">
        <v>19200</v>
      </c>
      <c r="G5" s="12" t="n">
        <f aca="false">F5*(1-C5)</f>
        <v>19200</v>
      </c>
    </row>
    <row r="6" customFormat="false" ht="15" hidden="false" customHeight="false" outlineLevel="0" collapsed="false">
      <c r="A6" s="10" t="s">
        <v>498</v>
      </c>
      <c r="B6" s="10" t="s">
        <v>499</v>
      </c>
      <c r="C6" s="20" t="n">
        <v>0.05</v>
      </c>
      <c r="D6" s="14" t="n">
        <v>1</v>
      </c>
      <c r="E6" s="10" t="s">
        <v>500</v>
      </c>
      <c r="F6" s="12" t="n">
        <v>19200</v>
      </c>
      <c r="G6" s="12" t="n">
        <f aca="false">F6*(1-C6)</f>
        <v>18240</v>
      </c>
    </row>
    <row r="7" customFormat="false" ht="15" hidden="false" customHeight="false" outlineLevel="0" collapsed="false">
      <c r="A7" s="10" t="s">
        <v>498</v>
      </c>
      <c r="B7" s="10" t="s">
        <v>501</v>
      </c>
      <c r="C7" s="20" t="n">
        <v>0.07</v>
      </c>
      <c r="D7" s="14" t="n">
        <v>10</v>
      </c>
      <c r="E7" s="10" t="s">
        <v>500</v>
      </c>
      <c r="F7" s="12" t="n">
        <v>19200</v>
      </c>
      <c r="G7" s="12" t="n">
        <f aca="false">F7*(1-C7)</f>
        <v>17856</v>
      </c>
    </row>
    <row r="8" customFormat="false" ht="15" hidden="false" customHeight="false" outlineLevel="0" collapsed="false">
      <c r="A8" s="10" t="s">
        <v>502</v>
      </c>
      <c r="B8" s="10" t="s">
        <v>503</v>
      </c>
      <c r="C8" s="20" t="n">
        <v>0.1</v>
      </c>
      <c r="D8" s="14" t="n">
        <v>1</v>
      </c>
      <c r="E8" s="10" t="s">
        <v>504</v>
      </c>
      <c r="F8" s="12" t="n">
        <v>19200</v>
      </c>
      <c r="G8" s="12" t="n">
        <f aca="false">F8*(1-C8)</f>
        <v>17280</v>
      </c>
    </row>
    <row r="9" customFormat="false" ht="15" hidden="false" customHeight="false" outlineLevel="0" collapsed="false">
      <c r="A9" s="10" t="s">
        <v>502</v>
      </c>
      <c r="B9" s="10" t="s">
        <v>505</v>
      </c>
      <c r="C9" s="20" t="n">
        <v>0.12</v>
      </c>
      <c r="D9" s="14" t="n">
        <v>20</v>
      </c>
      <c r="E9" s="10" t="s">
        <v>504</v>
      </c>
      <c r="F9" s="12" t="n">
        <v>19200</v>
      </c>
      <c r="G9" s="12" t="n">
        <f aca="false">F9*(1-C9)</f>
        <v>16896</v>
      </c>
    </row>
    <row r="10" customFormat="false" ht="15" hidden="false" customHeight="false" outlineLevel="0" collapsed="false">
      <c r="A10" s="10" t="s">
        <v>506</v>
      </c>
      <c r="B10" s="10" t="s">
        <v>501</v>
      </c>
      <c r="C10" s="20" t="n">
        <v>0.07</v>
      </c>
      <c r="D10" s="14" t="n">
        <v>1</v>
      </c>
      <c r="E10" s="10" t="s">
        <v>507</v>
      </c>
      <c r="F10" s="12" t="n">
        <v>19200</v>
      </c>
      <c r="G10" s="12" t="n">
        <f aca="false">F10*(1-C10)</f>
        <v>17856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43"/>
    <col collapsed="false" customWidth="true" hidden="false" outlineLevel="0" max="4" min="4" style="0" width="42"/>
    <col collapsed="false" customWidth="true" hidden="false" outlineLevel="0" max="5" min="5" style="0" width="29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23"/>
  </cols>
  <sheetData>
    <row r="1" customFormat="false" ht="16.15" hidden="false" customHeight="false" outlineLevel="0" collapsed="false">
      <c r="A1" s="8" t="s">
        <v>508</v>
      </c>
    </row>
    <row r="2" customFormat="false" ht="15" hidden="false" customHeight="false" outlineLevel="0" collapsed="false">
      <c r="A2" s="2" t="s">
        <v>509</v>
      </c>
    </row>
    <row r="4" customFormat="false" ht="15" hidden="false" customHeight="false" outlineLevel="0" collapsed="false">
      <c r="A4" s="9" t="s">
        <v>510</v>
      </c>
      <c r="B4" s="9" t="s">
        <v>439</v>
      </c>
      <c r="C4" s="9" t="s">
        <v>511</v>
      </c>
      <c r="D4" s="9" t="s">
        <v>512</v>
      </c>
      <c r="E4" s="9" t="s">
        <v>513</v>
      </c>
      <c r="F4" s="9" t="s">
        <v>300</v>
      </c>
      <c r="G4" s="9" t="s">
        <v>514</v>
      </c>
      <c r="H4" s="9" t="s">
        <v>515</v>
      </c>
    </row>
    <row r="5" customFormat="false" ht="15" hidden="false" customHeight="false" outlineLevel="0" collapsed="false">
      <c r="A5" s="10" t="s">
        <v>516</v>
      </c>
      <c r="B5" s="10" t="s">
        <v>517</v>
      </c>
      <c r="C5" s="10" t="s">
        <v>518</v>
      </c>
      <c r="D5" s="10" t="s">
        <v>519</v>
      </c>
      <c r="E5" s="10" t="s">
        <v>520</v>
      </c>
      <c r="F5" s="10" t="s">
        <v>171</v>
      </c>
      <c r="G5" s="10" t="s">
        <v>521</v>
      </c>
      <c r="H5" s="10" t="s">
        <v>522</v>
      </c>
    </row>
    <row r="6" customFormat="false" ht="15" hidden="false" customHeight="false" outlineLevel="0" collapsed="false">
      <c r="A6" s="10" t="s">
        <v>523</v>
      </c>
      <c r="B6" s="10" t="s">
        <v>524</v>
      </c>
      <c r="C6" s="10" t="s">
        <v>525</v>
      </c>
      <c r="D6" s="10" t="s">
        <v>526</v>
      </c>
      <c r="E6" s="10" t="s">
        <v>527</v>
      </c>
      <c r="F6" s="10" t="s">
        <v>301</v>
      </c>
      <c r="G6" s="10" t="s">
        <v>516</v>
      </c>
      <c r="H6" s="10" t="s">
        <v>528</v>
      </c>
    </row>
    <row r="7" customFormat="false" ht="15" hidden="false" customHeight="false" outlineLevel="0" collapsed="false">
      <c r="A7" s="10" t="s">
        <v>529</v>
      </c>
      <c r="B7" s="10" t="s">
        <v>530</v>
      </c>
      <c r="C7" s="10" t="s">
        <v>531</v>
      </c>
      <c r="D7" s="10" t="s">
        <v>526</v>
      </c>
      <c r="E7" s="10" t="s">
        <v>527</v>
      </c>
      <c r="F7" s="10" t="s">
        <v>301</v>
      </c>
      <c r="G7" s="10" t="s">
        <v>516</v>
      </c>
      <c r="H7" s="10" t="s">
        <v>528</v>
      </c>
    </row>
    <row r="8" customFormat="false" ht="15" hidden="false" customHeight="false" outlineLevel="0" collapsed="false">
      <c r="A8" s="10" t="s">
        <v>532</v>
      </c>
      <c r="B8" s="10" t="s">
        <v>533</v>
      </c>
      <c r="C8" s="10" t="s">
        <v>534</v>
      </c>
      <c r="D8" s="10" t="s">
        <v>526</v>
      </c>
      <c r="E8" s="10" t="s">
        <v>527</v>
      </c>
      <c r="F8" s="10" t="s">
        <v>301</v>
      </c>
      <c r="G8" s="10" t="s">
        <v>516</v>
      </c>
      <c r="H8" s="10" t="s">
        <v>528</v>
      </c>
    </row>
    <row r="9" customFormat="false" ht="15" hidden="false" customHeight="false" outlineLevel="0" collapsed="false">
      <c r="A9" s="10" t="s">
        <v>535</v>
      </c>
      <c r="B9" s="10" t="s">
        <v>536</v>
      </c>
      <c r="C9" s="10" t="s">
        <v>537</v>
      </c>
      <c r="D9" s="10" t="s">
        <v>526</v>
      </c>
      <c r="E9" s="10" t="s">
        <v>527</v>
      </c>
      <c r="F9" s="10" t="s">
        <v>301</v>
      </c>
      <c r="G9" s="10" t="s">
        <v>516</v>
      </c>
      <c r="H9" s="10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45"/>
  </cols>
  <sheetData>
    <row r="1" customFormat="false" ht="16.15" hidden="false" customHeight="false" outlineLevel="0" collapsed="false">
      <c r="A1" s="8" t="s">
        <v>538</v>
      </c>
    </row>
    <row r="2" customFormat="false" ht="15" hidden="false" customHeight="false" outlineLevel="0" collapsed="false">
      <c r="A2" s="2" t="s">
        <v>539</v>
      </c>
    </row>
    <row r="4" customFormat="false" ht="15" hidden="false" customHeight="false" outlineLevel="0" collapsed="false">
      <c r="A4" s="9" t="s">
        <v>540</v>
      </c>
      <c r="B4" s="9" t="s">
        <v>510</v>
      </c>
      <c r="C4" s="9" t="s">
        <v>151</v>
      </c>
      <c r="D4" s="9" t="s">
        <v>541</v>
      </c>
      <c r="E4" s="9" t="s">
        <v>542</v>
      </c>
    </row>
    <row r="5" customFormat="false" ht="15" hidden="false" customHeight="false" outlineLevel="0" collapsed="false">
      <c r="A5" s="10" t="s">
        <v>543</v>
      </c>
      <c r="B5" s="10" t="s">
        <v>516</v>
      </c>
      <c r="C5" s="10" t="s">
        <v>544</v>
      </c>
      <c r="D5" s="10" t="s">
        <v>545</v>
      </c>
      <c r="E5" s="10" t="s">
        <v>546</v>
      </c>
    </row>
    <row r="6" customFormat="false" ht="15" hidden="false" customHeight="false" outlineLevel="0" collapsed="false">
      <c r="A6" s="10" t="s">
        <v>547</v>
      </c>
      <c r="B6" s="10" t="s">
        <v>516</v>
      </c>
      <c r="C6" s="10" t="s">
        <v>544</v>
      </c>
      <c r="D6" s="10" t="s">
        <v>545</v>
      </c>
      <c r="E6" s="10" t="s">
        <v>548</v>
      </c>
    </row>
    <row r="7" customFormat="false" ht="15" hidden="false" customHeight="false" outlineLevel="0" collapsed="false">
      <c r="A7" s="10" t="s">
        <v>549</v>
      </c>
      <c r="B7" s="10" t="s">
        <v>516</v>
      </c>
      <c r="C7" s="10" t="s">
        <v>544</v>
      </c>
      <c r="D7" s="10" t="s">
        <v>545</v>
      </c>
      <c r="E7" s="10" t="s">
        <v>548</v>
      </c>
    </row>
    <row r="8" customFormat="false" ht="15" hidden="false" customHeight="false" outlineLevel="0" collapsed="false">
      <c r="A8" s="10" t="s">
        <v>550</v>
      </c>
      <c r="B8" s="10" t="s">
        <v>516</v>
      </c>
      <c r="C8" s="10" t="s">
        <v>544</v>
      </c>
      <c r="D8" s="10" t="s">
        <v>545</v>
      </c>
      <c r="E8" s="10" t="s">
        <v>548</v>
      </c>
    </row>
    <row r="9" customFormat="false" ht="15" hidden="false" customHeight="false" outlineLevel="0" collapsed="false">
      <c r="A9" s="10" t="s">
        <v>551</v>
      </c>
      <c r="B9" s="10" t="s">
        <v>516</v>
      </c>
      <c r="C9" s="10" t="s">
        <v>544</v>
      </c>
      <c r="D9" s="10" t="s">
        <v>545</v>
      </c>
      <c r="E9" s="10" t="s">
        <v>548</v>
      </c>
    </row>
    <row r="10" customFormat="false" ht="15" hidden="false" customHeight="false" outlineLevel="0" collapsed="false">
      <c r="A10" s="10" t="s">
        <v>552</v>
      </c>
      <c r="B10" s="10" t="s">
        <v>516</v>
      </c>
      <c r="C10" s="10" t="s">
        <v>544</v>
      </c>
      <c r="D10" s="10" t="s">
        <v>553</v>
      </c>
      <c r="E10" s="10" t="s">
        <v>554</v>
      </c>
    </row>
    <row r="11" customFormat="false" ht="15" hidden="false" customHeight="false" outlineLevel="0" collapsed="false">
      <c r="A11" s="10" t="s">
        <v>555</v>
      </c>
      <c r="B11" s="10" t="s">
        <v>516</v>
      </c>
      <c r="C11" s="10" t="s">
        <v>544</v>
      </c>
      <c r="D11" s="10" t="s">
        <v>553</v>
      </c>
      <c r="E11" s="10" t="s">
        <v>556</v>
      </c>
    </row>
    <row r="12" customFormat="false" ht="15" hidden="false" customHeight="false" outlineLevel="0" collapsed="false">
      <c r="A12" s="10" t="s">
        <v>557</v>
      </c>
      <c r="B12" s="10" t="s">
        <v>516</v>
      </c>
      <c r="C12" s="10" t="s">
        <v>544</v>
      </c>
      <c r="D12" s="10" t="s">
        <v>553</v>
      </c>
      <c r="E12" s="10" t="s">
        <v>558</v>
      </c>
    </row>
    <row r="13" customFormat="false" ht="15" hidden="false" customHeight="false" outlineLevel="0" collapsed="false">
      <c r="A13" s="10" t="s">
        <v>559</v>
      </c>
      <c r="B13" s="10" t="s">
        <v>516</v>
      </c>
      <c r="C13" s="10" t="s">
        <v>544</v>
      </c>
      <c r="D13" s="10" t="s">
        <v>553</v>
      </c>
      <c r="E13" s="10" t="s">
        <v>560</v>
      </c>
    </row>
    <row r="14" customFormat="false" ht="15" hidden="false" customHeight="false" outlineLevel="0" collapsed="false">
      <c r="A14" s="10" t="s">
        <v>561</v>
      </c>
      <c r="B14" s="10" t="s">
        <v>516</v>
      </c>
      <c r="C14" s="10" t="s">
        <v>544</v>
      </c>
      <c r="D14" s="10" t="s">
        <v>553</v>
      </c>
      <c r="E14" s="10" t="s">
        <v>562</v>
      </c>
    </row>
    <row r="15" customFormat="false" ht="15" hidden="false" customHeight="false" outlineLevel="0" collapsed="false">
      <c r="A15" s="10" t="s">
        <v>563</v>
      </c>
      <c r="B15" s="10" t="s">
        <v>523</v>
      </c>
      <c r="C15" s="10" t="s">
        <v>544</v>
      </c>
      <c r="D15" s="10" t="s">
        <v>545</v>
      </c>
      <c r="E15" s="10" t="s">
        <v>546</v>
      </c>
    </row>
    <row r="16" customFormat="false" ht="15" hidden="false" customHeight="false" outlineLevel="0" collapsed="false">
      <c r="A16" s="10" t="s">
        <v>564</v>
      </c>
      <c r="B16" s="10" t="s">
        <v>523</v>
      </c>
      <c r="C16" s="10" t="s">
        <v>544</v>
      </c>
      <c r="D16" s="10" t="s">
        <v>545</v>
      </c>
      <c r="E16" s="10" t="s">
        <v>548</v>
      </c>
    </row>
    <row r="17" customFormat="false" ht="15" hidden="false" customHeight="false" outlineLevel="0" collapsed="false">
      <c r="A17" s="10" t="s">
        <v>565</v>
      </c>
      <c r="B17" s="10" t="s">
        <v>523</v>
      </c>
      <c r="C17" s="10" t="s">
        <v>544</v>
      </c>
      <c r="D17" s="10" t="s">
        <v>553</v>
      </c>
      <c r="E17" s="10" t="s">
        <v>554</v>
      </c>
    </row>
    <row r="18" customFormat="false" ht="15" hidden="false" customHeight="false" outlineLevel="0" collapsed="false">
      <c r="A18" s="10" t="s">
        <v>566</v>
      </c>
      <c r="B18" s="10" t="s">
        <v>523</v>
      </c>
      <c r="C18" s="10" t="s">
        <v>544</v>
      </c>
      <c r="D18" s="10" t="s">
        <v>553</v>
      </c>
      <c r="E18" s="10" t="s">
        <v>556</v>
      </c>
    </row>
    <row r="19" customFormat="false" ht="15" hidden="false" customHeight="false" outlineLevel="0" collapsed="false">
      <c r="A19" s="10" t="s">
        <v>567</v>
      </c>
      <c r="B19" s="10" t="s">
        <v>529</v>
      </c>
      <c r="C19" s="10" t="s">
        <v>544</v>
      </c>
      <c r="D19" s="10" t="s">
        <v>545</v>
      </c>
      <c r="E19" s="10" t="s">
        <v>546</v>
      </c>
    </row>
    <row r="20" customFormat="false" ht="15" hidden="false" customHeight="false" outlineLevel="0" collapsed="false">
      <c r="A20" s="10" t="s">
        <v>568</v>
      </c>
      <c r="B20" s="10" t="s">
        <v>529</v>
      </c>
      <c r="C20" s="10" t="s">
        <v>544</v>
      </c>
      <c r="D20" s="10" t="s">
        <v>545</v>
      </c>
      <c r="E20" s="10" t="s">
        <v>548</v>
      </c>
    </row>
    <row r="21" customFormat="false" ht="15" hidden="false" customHeight="false" outlineLevel="0" collapsed="false">
      <c r="A21" s="10" t="s">
        <v>569</v>
      </c>
      <c r="B21" s="10" t="s">
        <v>529</v>
      </c>
      <c r="C21" s="10" t="s">
        <v>544</v>
      </c>
      <c r="D21" s="10" t="s">
        <v>553</v>
      </c>
      <c r="E21" s="10" t="s">
        <v>554</v>
      </c>
    </row>
    <row r="22" customFormat="false" ht="15" hidden="false" customHeight="false" outlineLevel="0" collapsed="false">
      <c r="A22" s="10" t="s">
        <v>570</v>
      </c>
      <c r="B22" s="10" t="s">
        <v>529</v>
      </c>
      <c r="C22" s="10" t="s">
        <v>544</v>
      </c>
      <c r="D22" s="10" t="s">
        <v>553</v>
      </c>
      <c r="E22" s="10" t="s">
        <v>556</v>
      </c>
    </row>
    <row r="23" customFormat="false" ht="15" hidden="false" customHeight="false" outlineLevel="0" collapsed="false">
      <c r="A23" s="10" t="s">
        <v>571</v>
      </c>
      <c r="B23" s="10" t="s">
        <v>532</v>
      </c>
      <c r="C23" s="10" t="s">
        <v>544</v>
      </c>
      <c r="D23" s="10" t="s">
        <v>545</v>
      </c>
      <c r="E23" s="10" t="s">
        <v>546</v>
      </c>
    </row>
    <row r="24" customFormat="false" ht="15" hidden="false" customHeight="false" outlineLevel="0" collapsed="false">
      <c r="A24" s="10" t="s">
        <v>572</v>
      </c>
      <c r="B24" s="10" t="s">
        <v>532</v>
      </c>
      <c r="C24" s="10" t="s">
        <v>544</v>
      </c>
      <c r="D24" s="10" t="s">
        <v>545</v>
      </c>
      <c r="E24" s="10" t="s">
        <v>548</v>
      </c>
    </row>
    <row r="25" customFormat="false" ht="15" hidden="false" customHeight="false" outlineLevel="0" collapsed="false">
      <c r="A25" s="10" t="s">
        <v>573</v>
      </c>
      <c r="B25" s="10" t="s">
        <v>532</v>
      </c>
      <c r="C25" s="10" t="s">
        <v>544</v>
      </c>
      <c r="D25" s="10" t="s">
        <v>553</v>
      </c>
      <c r="E25" s="10" t="s">
        <v>554</v>
      </c>
    </row>
    <row r="26" customFormat="false" ht="15" hidden="false" customHeight="false" outlineLevel="0" collapsed="false">
      <c r="A26" s="10" t="s">
        <v>574</v>
      </c>
      <c r="B26" s="10" t="s">
        <v>532</v>
      </c>
      <c r="C26" s="10" t="s">
        <v>544</v>
      </c>
      <c r="D26" s="10" t="s">
        <v>553</v>
      </c>
      <c r="E26" s="10" t="s">
        <v>556</v>
      </c>
    </row>
    <row r="27" customFormat="false" ht="15" hidden="false" customHeight="false" outlineLevel="0" collapsed="false">
      <c r="A27" s="10" t="s">
        <v>575</v>
      </c>
      <c r="B27" s="10" t="s">
        <v>535</v>
      </c>
      <c r="C27" s="10" t="s">
        <v>544</v>
      </c>
      <c r="D27" s="10" t="s">
        <v>545</v>
      </c>
      <c r="E27" s="10" t="s">
        <v>546</v>
      </c>
    </row>
    <row r="28" customFormat="false" ht="15" hidden="false" customHeight="false" outlineLevel="0" collapsed="false">
      <c r="A28" s="10" t="s">
        <v>576</v>
      </c>
      <c r="B28" s="10" t="s">
        <v>535</v>
      </c>
      <c r="C28" s="10" t="s">
        <v>544</v>
      </c>
      <c r="D28" s="10" t="s">
        <v>545</v>
      </c>
      <c r="E28" s="10" t="s">
        <v>548</v>
      </c>
    </row>
    <row r="29" customFormat="false" ht="15" hidden="false" customHeight="false" outlineLevel="0" collapsed="false">
      <c r="A29" s="10" t="s">
        <v>577</v>
      </c>
      <c r="B29" s="10" t="s">
        <v>535</v>
      </c>
      <c r="C29" s="10" t="s">
        <v>544</v>
      </c>
      <c r="D29" s="10" t="s">
        <v>553</v>
      </c>
      <c r="E29" s="10" t="s">
        <v>554</v>
      </c>
    </row>
    <row r="30" customFormat="false" ht="15" hidden="false" customHeight="false" outlineLevel="0" collapsed="false">
      <c r="A30" s="10" t="s">
        <v>578</v>
      </c>
      <c r="B30" s="10" t="s">
        <v>535</v>
      </c>
      <c r="C30" s="10" t="s">
        <v>544</v>
      </c>
      <c r="D30" s="10" t="s">
        <v>553</v>
      </c>
      <c r="E30" s="10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42"/>
    <col collapsed="false" customWidth="true" hidden="false" outlineLevel="0" max="7" min="7" style="0" width="9"/>
    <col collapsed="false" customWidth="true" hidden="false" outlineLevel="0" max="9" min="8" style="0" width="14"/>
  </cols>
  <sheetData>
    <row r="1" customFormat="false" ht="16.15" hidden="false" customHeight="false" outlineLevel="0" collapsed="false">
      <c r="A1" s="8" t="s">
        <v>579</v>
      </c>
    </row>
    <row r="2" customFormat="false" ht="15" hidden="false" customHeight="false" outlineLevel="0" collapsed="false">
      <c r="A2" s="2" t="s">
        <v>580</v>
      </c>
    </row>
    <row r="4" customFormat="false" ht="15" hidden="false" customHeight="false" outlineLevel="0" collapsed="false">
      <c r="A4" s="9" t="s">
        <v>148</v>
      </c>
      <c r="B4" s="9" t="s">
        <v>149</v>
      </c>
      <c r="C4" s="9" t="s">
        <v>69</v>
      </c>
      <c r="D4" s="9" t="s">
        <v>581</v>
      </c>
      <c r="E4" s="9" t="s">
        <v>510</v>
      </c>
      <c r="F4" s="9" t="s">
        <v>540</v>
      </c>
      <c r="G4" s="9" t="s">
        <v>582</v>
      </c>
      <c r="H4" s="9" t="s">
        <v>425</v>
      </c>
      <c r="I4" s="9" t="s">
        <v>583</v>
      </c>
    </row>
    <row r="5" customFormat="false" ht="15" hidden="false" customHeight="false" outlineLevel="0" collapsed="false">
      <c r="A5" s="10" t="s">
        <v>167</v>
      </c>
      <c r="B5" s="10" t="s">
        <v>168</v>
      </c>
      <c r="C5" s="10" t="s">
        <v>104</v>
      </c>
      <c r="D5" s="10" t="s">
        <v>105</v>
      </c>
      <c r="E5" s="10" t="s">
        <v>517</v>
      </c>
      <c r="F5" s="10" t="s">
        <v>552</v>
      </c>
      <c r="G5" s="14" t="n">
        <v>9</v>
      </c>
      <c r="H5" s="12" t="n">
        <f aca="false">INDEX(Products!$J$5:$J$93,MATCH(A5,Products!$A$5:$A$93,0))</f>
        <v>26400</v>
      </c>
      <c r="I5" s="12" t="n">
        <f aca="false">G5*H5</f>
        <v>237600</v>
      </c>
    </row>
    <row r="6" customFormat="false" ht="15" hidden="false" customHeight="false" outlineLevel="0" collapsed="false">
      <c r="A6" s="10" t="s">
        <v>167</v>
      </c>
      <c r="B6" s="10" t="s">
        <v>168</v>
      </c>
      <c r="C6" s="10" t="s">
        <v>104</v>
      </c>
      <c r="D6" s="10" t="s">
        <v>105</v>
      </c>
      <c r="E6" s="10" t="s">
        <v>524</v>
      </c>
      <c r="F6" s="10" t="s">
        <v>565</v>
      </c>
      <c r="G6" s="14" t="n">
        <v>5</v>
      </c>
      <c r="H6" s="12" t="n">
        <f aca="false">INDEX(Products!$J$5:$J$93,MATCH(A6,Products!$A$5:$A$93,0))</f>
        <v>26400</v>
      </c>
      <c r="I6" s="12" t="n">
        <f aca="false">G6*H6</f>
        <v>132000</v>
      </c>
    </row>
    <row r="7" customFormat="false" ht="15" hidden="false" customHeight="false" outlineLevel="0" collapsed="false">
      <c r="A7" s="10" t="s">
        <v>167</v>
      </c>
      <c r="B7" s="10" t="s">
        <v>168</v>
      </c>
      <c r="C7" s="10" t="s">
        <v>104</v>
      </c>
      <c r="D7" s="10" t="s">
        <v>105</v>
      </c>
      <c r="E7" s="10" t="s">
        <v>530</v>
      </c>
      <c r="F7" s="10" t="s">
        <v>569</v>
      </c>
      <c r="G7" s="14" t="n">
        <v>4</v>
      </c>
      <c r="H7" s="12" t="n">
        <f aca="false">INDEX(Products!$J$5:$J$93,MATCH(A7,Products!$A$5:$A$93,0))</f>
        <v>26400</v>
      </c>
      <c r="I7" s="12" t="n">
        <f aca="false">G7*H7</f>
        <v>105600</v>
      </c>
    </row>
    <row r="8" customFormat="false" ht="15" hidden="false" customHeight="false" outlineLevel="0" collapsed="false">
      <c r="A8" s="10" t="s">
        <v>167</v>
      </c>
      <c r="B8" s="10" t="s">
        <v>168</v>
      </c>
      <c r="C8" s="10" t="s">
        <v>104</v>
      </c>
      <c r="D8" s="10" t="s">
        <v>105</v>
      </c>
      <c r="E8" s="10" t="s">
        <v>533</v>
      </c>
      <c r="F8" s="10" t="s">
        <v>573</v>
      </c>
      <c r="G8" s="14" t="n">
        <v>3</v>
      </c>
      <c r="H8" s="12" t="n">
        <f aca="false">INDEX(Products!$J$5:$J$93,MATCH(A8,Products!$A$5:$A$93,0))</f>
        <v>26400</v>
      </c>
      <c r="I8" s="12" t="n">
        <f aca="false">G8*H8</f>
        <v>79200</v>
      </c>
    </row>
    <row r="9" customFormat="false" ht="15" hidden="false" customHeight="false" outlineLevel="0" collapsed="false">
      <c r="A9" s="10" t="s">
        <v>167</v>
      </c>
      <c r="B9" s="10" t="s">
        <v>168</v>
      </c>
      <c r="C9" s="10" t="s">
        <v>104</v>
      </c>
      <c r="D9" s="10" t="s">
        <v>105</v>
      </c>
      <c r="E9" s="10" t="s">
        <v>536</v>
      </c>
      <c r="F9" s="10" t="s">
        <v>577</v>
      </c>
      <c r="G9" s="14" t="n">
        <v>4</v>
      </c>
      <c r="H9" s="12" t="n">
        <f aca="false">INDEX(Products!$J$5:$J$93,MATCH(A9,Products!$A$5:$A$93,0))</f>
        <v>26400</v>
      </c>
      <c r="I9" s="12" t="n">
        <f aca="false">G9*H9</f>
        <v>105600</v>
      </c>
    </row>
    <row r="10" customFormat="false" ht="15" hidden="false" customHeight="false" outlineLevel="0" collapsed="false">
      <c r="A10" s="10" t="s">
        <v>177</v>
      </c>
      <c r="B10" s="10" t="s">
        <v>178</v>
      </c>
      <c r="C10" s="10" t="s">
        <v>104</v>
      </c>
      <c r="D10" s="10" t="s">
        <v>105</v>
      </c>
      <c r="E10" s="10" t="s">
        <v>517</v>
      </c>
      <c r="F10" s="10" t="s">
        <v>552</v>
      </c>
      <c r="G10" s="14" t="n">
        <v>6</v>
      </c>
      <c r="H10" s="12" t="n">
        <f aca="false">INDEX(Products!$J$5:$J$93,MATCH(A10,Products!$A$5:$A$93,0))</f>
        <v>33600</v>
      </c>
      <c r="I10" s="12" t="n">
        <f aca="false">G10*H10</f>
        <v>201600</v>
      </c>
    </row>
    <row r="11" customFormat="false" ht="15" hidden="false" customHeight="false" outlineLevel="0" collapsed="false">
      <c r="A11" s="10" t="s">
        <v>177</v>
      </c>
      <c r="B11" s="10" t="s">
        <v>178</v>
      </c>
      <c r="C11" s="10" t="s">
        <v>104</v>
      </c>
      <c r="D11" s="10" t="s">
        <v>105</v>
      </c>
      <c r="E11" s="10" t="s">
        <v>524</v>
      </c>
      <c r="F11" s="10" t="s">
        <v>565</v>
      </c>
      <c r="G11" s="14" t="n">
        <v>4</v>
      </c>
      <c r="H11" s="12" t="n">
        <f aca="false">INDEX(Products!$J$5:$J$93,MATCH(A11,Products!$A$5:$A$93,0))</f>
        <v>33600</v>
      </c>
      <c r="I11" s="12" t="n">
        <f aca="false">G11*H11</f>
        <v>134400</v>
      </c>
    </row>
    <row r="12" customFormat="false" ht="15" hidden="false" customHeight="false" outlineLevel="0" collapsed="false">
      <c r="A12" s="10" t="s">
        <v>177</v>
      </c>
      <c r="B12" s="10" t="s">
        <v>178</v>
      </c>
      <c r="C12" s="10" t="s">
        <v>104</v>
      </c>
      <c r="D12" s="10" t="s">
        <v>105</v>
      </c>
      <c r="E12" s="10" t="s">
        <v>530</v>
      </c>
      <c r="F12" s="10" t="s">
        <v>569</v>
      </c>
      <c r="G12" s="14" t="n">
        <v>3</v>
      </c>
      <c r="H12" s="12" t="n">
        <f aca="false">INDEX(Products!$J$5:$J$93,MATCH(A12,Products!$A$5:$A$93,0))</f>
        <v>33600</v>
      </c>
      <c r="I12" s="12" t="n">
        <f aca="false">G12*H12</f>
        <v>100800</v>
      </c>
    </row>
    <row r="13" customFormat="false" ht="15" hidden="false" customHeight="false" outlineLevel="0" collapsed="false">
      <c r="A13" s="10" t="s">
        <v>177</v>
      </c>
      <c r="B13" s="10" t="s">
        <v>178</v>
      </c>
      <c r="C13" s="10" t="s">
        <v>104</v>
      </c>
      <c r="D13" s="10" t="s">
        <v>105</v>
      </c>
      <c r="E13" s="10" t="s">
        <v>533</v>
      </c>
      <c r="F13" s="10" t="s">
        <v>573</v>
      </c>
      <c r="G13" s="14" t="n">
        <v>2</v>
      </c>
      <c r="H13" s="12" t="n">
        <f aca="false">INDEX(Products!$J$5:$J$93,MATCH(A13,Products!$A$5:$A$93,0))</f>
        <v>33600</v>
      </c>
      <c r="I13" s="12" t="n">
        <f aca="false">G13*H13</f>
        <v>67200</v>
      </c>
    </row>
    <row r="14" customFormat="false" ht="15" hidden="false" customHeight="false" outlineLevel="0" collapsed="false">
      <c r="A14" s="10" t="s">
        <v>177</v>
      </c>
      <c r="B14" s="10" t="s">
        <v>178</v>
      </c>
      <c r="C14" s="10" t="s">
        <v>104</v>
      </c>
      <c r="D14" s="10" t="s">
        <v>105</v>
      </c>
      <c r="E14" s="10" t="s">
        <v>536</v>
      </c>
      <c r="F14" s="10" t="s">
        <v>577</v>
      </c>
      <c r="G14" s="14" t="n">
        <v>3</v>
      </c>
      <c r="H14" s="12" t="n">
        <f aca="false">INDEX(Products!$J$5:$J$93,MATCH(A14,Products!$A$5:$A$93,0))</f>
        <v>33600</v>
      </c>
      <c r="I14" s="12" t="n">
        <f aca="false">G14*H14</f>
        <v>100800</v>
      </c>
    </row>
    <row r="15" customFormat="false" ht="15" hidden="false" customHeight="false" outlineLevel="0" collapsed="false">
      <c r="A15" s="10" t="s">
        <v>181</v>
      </c>
      <c r="B15" s="10" t="s">
        <v>182</v>
      </c>
      <c r="C15" s="10" t="s">
        <v>104</v>
      </c>
      <c r="D15" s="10" t="s">
        <v>105</v>
      </c>
      <c r="E15" s="10" t="s">
        <v>517</v>
      </c>
      <c r="F15" s="10" t="s">
        <v>552</v>
      </c>
      <c r="G15" s="14" t="n">
        <v>4</v>
      </c>
      <c r="H15" s="12" t="n">
        <f aca="false">INDEX(Products!$J$5:$J$93,MATCH(A15,Products!$A$5:$A$93,0))</f>
        <v>57600</v>
      </c>
      <c r="I15" s="12" t="n">
        <f aca="false">G15*H15</f>
        <v>230400</v>
      </c>
    </row>
    <row r="16" customFormat="false" ht="15" hidden="false" customHeight="false" outlineLevel="0" collapsed="false">
      <c r="A16" s="10" t="s">
        <v>181</v>
      </c>
      <c r="B16" s="10" t="s">
        <v>182</v>
      </c>
      <c r="C16" s="10" t="s">
        <v>104</v>
      </c>
      <c r="D16" s="10" t="s">
        <v>105</v>
      </c>
      <c r="E16" s="10" t="s">
        <v>524</v>
      </c>
      <c r="F16" s="10" t="s">
        <v>565</v>
      </c>
      <c r="G16" s="14" t="n">
        <v>2</v>
      </c>
      <c r="H16" s="12" t="n">
        <f aca="false">INDEX(Products!$J$5:$J$93,MATCH(A16,Products!$A$5:$A$93,0))</f>
        <v>57600</v>
      </c>
      <c r="I16" s="12" t="n">
        <f aca="false">G16*H16</f>
        <v>115200</v>
      </c>
    </row>
    <row r="17" customFormat="false" ht="15" hidden="false" customHeight="false" outlineLevel="0" collapsed="false">
      <c r="A17" s="10" t="s">
        <v>181</v>
      </c>
      <c r="B17" s="10" t="s">
        <v>182</v>
      </c>
      <c r="C17" s="10" t="s">
        <v>104</v>
      </c>
      <c r="D17" s="10" t="s">
        <v>105</v>
      </c>
      <c r="E17" s="10" t="s">
        <v>530</v>
      </c>
      <c r="F17" s="10" t="s">
        <v>569</v>
      </c>
      <c r="G17" s="14" t="n">
        <v>2</v>
      </c>
      <c r="H17" s="12" t="n">
        <f aca="false">INDEX(Products!$J$5:$J$93,MATCH(A17,Products!$A$5:$A$93,0))</f>
        <v>57600</v>
      </c>
      <c r="I17" s="12" t="n">
        <f aca="false">G17*H17</f>
        <v>115200</v>
      </c>
    </row>
    <row r="18" customFormat="false" ht="15" hidden="false" customHeight="false" outlineLevel="0" collapsed="false">
      <c r="A18" s="10" t="s">
        <v>181</v>
      </c>
      <c r="B18" s="10" t="s">
        <v>182</v>
      </c>
      <c r="C18" s="10" t="s">
        <v>104</v>
      </c>
      <c r="D18" s="10" t="s">
        <v>105</v>
      </c>
      <c r="E18" s="10" t="s">
        <v>533</v>
      </c>
      <c r="F18" s="10" t="s">
        <v>573</v>
      </c>
      <c r="G18" s="14" t="n">
        <v>2</v>
      </c>
      <c r="H18" s="12" t="n">
        <f aca="false">INDEX(Products!$J$5:$J$93,MATCH(A18,Products!$A$5:$A$93,0))</f>
        <v>57600</v>
      </c>
      <c r="I18" s="12" t="n">
        <f aca="false">G18*H18</f>
        <v>115200</v>
      </c>
    </row>
    <row r="19" customFormat="false" ht="15" hidden="false" customHeight="false" outlineLevel="0" collapsed="false">
      <c r="A19" s="10" t="s">
        <v>181</v>
      </c>
      <c r="B19" s="10" t="s">
        <v>182</v>
      </c>
      <c r="C19" s="10" t="s">
        <v>104</v>
      </c>
      <c r="D19" s="10" t="s">
        <v>105</v>
      </c>
      <c r="E19" s="10" t="s">
        <v>536</v>
      </c>
      <c r="F19" s="10" t="s">
        <v>577</v>
      </c>
      <c r="G19" s="14" t="n">
        <v>2</v>
      </c>
      <c r="H19" s="12" t="n">
        <f aca="false">INDEX(Products!$J$5:$J$93,MATCH(A19,Products!$A$5:$A$93,0))</f>
        <v>57600</v>
      </c>
      <c r="I19" s="12" t="n">
        <f aca="false">G19*H19</f>
        <v>115200</v>
      </c>
    </row>
    <row r="20" customFormat="false" ht="15" hidden="false" customHeight="false" outlineLevel="0" collapsed="false">
      <c r="A20" s="10" t="s">
        <v>184</v>
      </c>
      <c r="B20" s="10" t="s">
        <v>185</v>
      </c>
      <c r="C20" s="10" t="s">
        <v>104</v>
      </c>
      <c r="D20" s="10" t="s">
        <v>105</v>
      </c>
      <c r="E20" s="10" t="s">
        <v>517</v>
      </c>
      <c r="F20" s="10" t="s">
        <v>552</v>
      </c>
      <c r="G20" s="14" t="n">
        <v>11</v>
      </c>
      <c r="H20" s="12" t="n">
        <f aca="false">INDEX(Products!$J$5:$J$93,MATCH(A20,Products!$A$5:$A$93,0))</f>
        <v>18800</v>
      </c>
      <c r="I20" s="12" t="n">
        <f aca="false">G20*H20</f>
        <v>206800</v>
      </c>
    </row>
    <row r="21" customFormat="false" ht="15" hidden="false" customHeight="false" outlineLevel="0" collapsed="false">
      <c r="A21" s="10" t="s">
        <v>184</v>
      </c>
      <c r="B21" s="10" t="s">
        <v>185</v>
      </c>
      <c r="C21" s="10" t="s">
        <v>104</v>
      </c>
      <c r="D21" s="10" t="s">
        <v>105</v>
      </c>
      <c r="E21" s="10" t="s">
        <v>524</v>
      </c>
      <c r="F21" s="10" t="s">
        <v>565</v>
      </c>
      <c r="G21" s="14" t="n">
        <v>6</v>
      </c>
      <c r="H21" s="12" t="n">
        <f aca="false">INDEX(Products!$J$5:$J$93,MATCH(A21,Products!$A$5:$A$93,0))</f>
        <v>18800</v>
      </c>
      <c r="I21" s="12" t="n">
        <f aca="false">G21*H21</f>
        <v>112800</v>
      </c>
    </row>
    <row r="22" customFormat="false" ht="15" hidden="false" customHeight="false" outlineLevel="0" collapsed="false">
      <c r="A22" s="10" t="s">
        <v>184</v>
      </c>
      <c r="B22" s="10" t="s">
        <v>185</v>
      </c>
      <c r="C22" s="10" t="s">
        <v>104</v>
      </c>
      <c r="D22" s="10" t="s">
        <v>105</v>
      </c>
      <c r="E22" s="10" t="s">
        <v>530</v>
      </c>
      <c r="F22" s="10" t="s">
        <v>569</v>
      </c>
      <c r="G22" s="14" t="n">
        <v>5</v>
      </c>
      <c r="H22" s="12" t="n">
        <f aca="false">INDEX(Products!$J$5:$J$93,MATCH(A22,Products!$A$5:$A$93,0))</f>
        <v>18800</v>
      </c>
      <c r="I22" s="12" t="n">
        <f aca="false">G22*H22</f>
        <v>94000</v>
      </c>
    </row>
    <row r="23" customFormat="false" ht="15" hidden="false" customHeight="false" outlineLevel="0" collapsed="false">
      <c r="A23" s="10" t="s">
        <v>184</v>
      </c>
      <c r="B23" s="10" t="s">
        <v>185</v>
      </c>
      <c r="C23" s="10" t="s">
        <v>104</v>
      </c>
      <c r="D23" s="10" t="s">
        <v>105</v>
      </c>
      <c r="E23" s="10" t="s">
        <v>533</v>
      </c>
      <c r="F23" s="10" t="s">
        <v>573</v>
      </c>
      <c r="G23" s="14" t="n">
        <v>4</v>
      </c>
      <c r="H23" s="12" t="n">
        <f aca="false">INDEX(Products!$J$5:$J$93,MATCH(A23,Products!$A$5:$A$93,0))</f>
        <v>18800</v>
      </c>
      <c r="I23" s="12" t="n">
        <f aca="false">G23*H23</f>
        <v>75200</v>
      </c>
    </row>
    <row r="24" customFormat="false" ht="15" hidden="false" customHeight="false" outlineLevel="0" collapsed="false">
      <c r="A24" s="10" t="s">
        <v>184</v>
      </c>
      <c r="B24" s="10" t="s">
        <v>185</v>
      </c>
      <c r="C24" s="10" t="s">
        <v>104</v>
      </c>
      <c r="D24" s="10" t="s">
        <v>105</v>
      </c>
      <c r="E24" s="10" t="s">
        <v>536</v>
      </c>
      <c r="F24" s="10" t="s">
        <v>577</v>
      </c>
      <c r="G24" s="14" t="n">
        <v>4</v>
      </c>
      <c r="H24" s="12" t="n">
        <f aca="false">INDEX(Products!$J$5:$J$93,MATCH(A24,Products!$A$5:$A$93,0))</f>
        <v>18800</v>
      </c>
      <c r="I24" s="12" t="n">
        <f aca="false">G24*H24</f>
        <v>75200</v>
      </c>
    </row>
    <row r="25" customFormat="false" ht="15" hidden="false" customHeight="false" outlineLevel="0" collapsed="false">
      <c r="A25" s="10" t="s">
        <v>187</v>
      </c>
      <c r="B25" s="10" t="s">
        <v>188</v>
      </c>
      <c r="C25" s="10" t="s">
        <v>104</v>
      </c>
      <c r="D25" s="10" t="s">
        <v>105</v>
      </c>
      <c r="E25" s="10" t="s">
        <v>517</v>
      </c>
      <c r="F25" s="10" t="s">
        <v>552</v>
      </c>
      <c r="G25" s="14" t="n">
        <v>7</v>
      </c>
      <c r="H25" s="12" t="n">
        <f aca="false">INDEX(Products!$J$5:$J$93,MATCH(A25,Products!$A$5:$A$93,0))</f>
        <v>21200</v>
      </c>
      <c r="I25" s="12" t="n">
        <f aca="false">G25*H25</f>
        <v>148400</v>
      </c>
    </row>
    <row r="26" customFormat="false" ht="15" hidden="false" customHeight="false" outlineLevel="0" collapsed="false">
      <c r="A26" s="10" t="s">
        <v>187</v>
      </c>
      <c r="B26" s="10" t="s">
        <v>188</v>
      </c>
      <c r="C26" s="10" t="s">
        <v>104</v>
      </c>
      <c r="D26" s="10" t="s">
        <v>105</v>
      </c>
      <c r="E26" s="10" t="s">
        <v>524</v>
      </c>
      <c r="F26" s="10" t="s">
        <v>565</v>
      </c>
      <c r="G26" s="14" t="n">
        <v>4</v>
      </c>
      <c r="H26" s="12" t="n">
        <f aca="false">INDEX(Products!$J$5:$J$93,MATCH(A26,Products!$A$5:$A$93,0))</f>
        <v>21200</v>
      </c>
      <c r="I26" s="12" t="n">
        <f aca="false">G26*H26</f>
        <v>84800</v>
      </c>
    </row>
    <row r="27" customFormat="false" ht="15" hidden="false" customHeight="false" outlineLevel="0" collapsed="false">
      <c r="A27" s="10" t="s">
        <v>187</v>
      </c>
      <c r="B27" s="10" t="s">
        <v>188</v>
      </c>
      <c r="C27" s="10" t="s">
        <v>104</v>
      </c>
      <c r="D27" s="10" t="s">
        <v>105</v>
      </c>
      <c r="E27" s="10" t="s">
        <v>530</v>
      </c>
      <c r="F27" s="10" t="s">
        <v>569</v>
      </c>
      <c r="G27" s="14" t="n">
        <v>4</v>
      </c>
      <c r="H27" s="12" t="n">
        <f aca="false">INDEX(Products!$J$5:$J$93,MATCH(A27,Products!$A$5:$A$93,0))</f>
        <v>21200</v>
      </c>
      <c r="I27" s="12" t="n">
        <f aca="false">G27*H27</f>
        <v>84800</v>
      </c>
    </row>
    <row r="28" customFormat="false" ht="15" hidden="false" customHeight="false" outlineLevel="0" collapsed="false">
      <c r="A28" s="10" t="s">
        <v>187</v>
      </c>
      <c r="B28" s="10" t="s">
        <v>188</v>
      </c>
      <c r="C28" s="10" t="s">
        <v>104</v>
      </c>
      <c r="D28" s="10" t="s">
        <v>105</v>
      </c>
      <c r="E28" s="10" t="s">
        <v>533</v>
      </c>
      <c r="F28" s="10" t="s">
        <v>573</v>
      </c>
      <c r="G28" s="14" t="n">
        <v>2</v>
      </c>
      <c r="H28" s="12" t="n">
        <f aca="false">INDEX(Products!$J$5:$J$93,MATCH(A28,Products!$A$5:$A$93,0))</f>
        <v>21200</v>
      </c>
      <c r="I28" s="12" t="n">
        <f aca="false">G28*H28</f>
        <v>42400</v>
      </c>
    </row>
    <row r="29" customFormat="false" ht="15" hidden="false" customHeight="false" outlineLevel="0" collapsed="false">
      <c r="A29" s="10" t="s">
        <v>187</v>
      </c>
      <c r="B29" s="10" t="s">
        <v>188</v>
      </c>
      <c r="C29" s="10" t="s">
        <v>104</v>
      </c>
      <c r="D29" s="10" t="s">
        <v>105</v>
      </c>
      <c r="E29" s="10" t="s">
        <v>536</v>
      </c>
      <c r="F29" s="10" t="s">
        <v>577</v>
      </c>
      <c r="G29" s="14" t="n">
        <v>3</v>
      </c>
      <c r="H29" s="12" t="n">
        <f aca="false">INDEX(Products!$J$5:$J$93,MATCH(A29,Products!$A$5:$A$93,0))</f>
        <v>21200</v>
      </c>
      <c r="I29" s="12" t="n">
        <f aca="false">G29*H29</f>
        <v>63600</v>
      </c>
    </row>
    <row r="30" customFormat="false" ht="15" hidden="false" customHeight="false" outlineLevel="0" collapsed="false">
      <c r="A30" s="10" t="s">
        <v>190</v>
      </c>
      <c r="B30" s="10" t="s">
        <v>191</v>
      </c>
      <c r="C30" s="10" t="s">
        <v>104</v>
      </c>
      <c r="D30" s="10" t="s">
        <v>105</v>
      </c>
      <c r="E30" s="10" t="s">
        <v>517</v>
      </c>
      <c r="F30" s="10" t="s">
        <v>552</v>
      </c>
      <c r="G30" s="14" t="n">
        <v>12</v>
      </c>
      <c r="H30" s="12" t="n">
        <f aca="false">INDEX(Products!$J$5:$J$93,MATCH(A30,Products!$A$5:$A$93,0))</f>
        <v>18000</v>
      </c>
      <c r="I30" s="12" t="n">
        <f aca="false">G30*H30</f>
        <v>216000</v>
      </c>
    </row>
    <row r="31" customFormat="false" ht="15" hidden="false" customHeight="false" outlineLevel="0" collapsed="false">
      <c r="A31" s="10" t="s">
        <v>190</v>
      </c>
      <c r="B31" s="10" t="s">
        <v>191</v>
      </c>
      <c r="C31" s="10" t="s">
        <v>104</v>
      </c>
      <c r="D31" s="10" t="s">
        <v>105</v>
      </c>
      <c r="E31" s="10" t="s">
        <v>524</v>
      </c>
      <c r="F31" s="10" t="s">
        <v>565</v>
      </c>
      <c r="G31" s="14" t="n">
        <v>7</v>
      </c>
      <c r="H31" s="12" t="n">
        <f aca="false">INDEX(Products!$J$5:$J$93,MATCH(A31,Products!$A$5:$A$93,0))</f>
        <v>18000</v>
      </c>
      <c r="I31" s="12" t="n">
        <f aca="false">G31*H31</f>
        <v>126000</v>
      </c>
    </row>
    <row r="32" customFormat="false" ht="15" hidden="false" customHeight="false" outlineLevel="0" collapsed="false">
      <c r="A32" s="10" t="s">
        <v>190</v>
      </c>
      <c r="B32" s="10" t="s">
        <v>191</v>
      </c>
      <c r="C32" s="10" t="s">
        <v>104</v>
      </c>
      <c r="D32" s="10" t="s">
        <v>105</v>
      </c>
      <c r="E32" s="10" t="s">
        <v>530</v>
      </c>
      <c r="F32" s="10" t="s">
        <v>569</v>
      </c>
      <c r="G32" s="14" t="n">
        <v>7</v>
      </c>
      <c r="H32" s="12" t="n">
        <f aca="false">INDEX(Products!$J$5:$J$93,MATCH(A32,Products!$A$5:$A$93,0))</f>
        <v>18000</v>
      </c>
      <c r="I32" s="12" t="n">
        <f aca="false">G32*H32</f>
        <v>126000</v>
      </c>
    </row>
    <row r="33" customFormat="false" ht="15" hidden="false" customHeight="false" outlineLevel="0" collapsed="false">
      <c r="A33" s="10" t="s">
        <v>190</v>
      </c>
      <c r="B33" s="10" t="s">
        <v>191</v>
      </c>
      <c r="C33" s="10" t="s">
        <v>104</v>
      </c>
      <c r="D33" s="10" t="s">
        <v>105</v>
      </c>
      <c r="E33" s="10" t="s">
        <v>533</v>
      </c>
      <c r="F33" s="10" t="s">
        <v>573</v>
      </c>
      <c r="G33" s="14" t="n">
        <v>4</v>
      </c>
      <c r="H33" s="12" t="n">
        <f aca="false">INDEX(Products!$J$5:$J$93,MATCH(A33,Products!$A$5:$A$93,0))</f>
        <v>18000</v>
      </c>
      <c r="I33" s="12" t="n">
        <f aca="false">G33*H33</f>
        <v>72000</v>
      </c>
    </row>
    <row r="34" customFormat="false" ht="15" hidden="false" customHeight="false" outlineLevel="0" collapsed="false">
      <c r="A34" s="10" t="s">
        <v>190</v>
      </c>
      <c r="B34" s="10" t="s">
        <v>191</v>
      </c>
      <c r="C34" s="10" t="s">
        <v>104</v>
      </c>
      <c r="D34" s="10" t="s">
        <v>105</v>
      </c>
      <c r="E34" s="10" t="s">
        <v>536</v>
      </c>
      <c r="F34" s="10" t="s">
        <v>577</v>
      </c>
      <c r="G34" s="14" t="n">
        <v>5</v>
      </c>
      <c r="H34" s="12" t="n">
        <f aca="false">INDEX(Products!$J$5:$J$93,MATCH(A34,Products!$A$5:$A$93,0))</f>
        <v>18000</v>
      </c>
      <c r="I34" s="12" t="n">
        <f aca="false">G34*H34</f>
        <v>90000</v>
      </c>
    </row>
    <row r="35" customFormat="false" ht="15" hidden="false" customHeight="false" outlineLevel="0" collapsed="false">
      <c r="A35" s="10" t="s">
        <v>193</v>
      </c>
      <c r="B35" s="10" t="s">
        <v>194</v>
      </c>
      <c r="C35" s="10" t="s">
        <v>104</v>
      </c>
      <c r="D35" s="10" t="s">
        <v>105</v>
      </c>
      <c r="E35" s="10" t="s">
        <v>517</v>
      </c>
      <c r="F35" s="10" t="s">
        <v>552</v>
      </c>
      <c r="G35" s="14" t="n">
        <v>5</v>
      </c>
      <c r="H35" s="12" t="n">
        <f aca="false">INDEX(Products!$J$5:$J$93,MATCH(A35,Products!$A$5:$A$93,0))</f>
        <v>23600</v>
      </c>
      <c r="I35" s="12" t="n">
        <f aca="false">G35*H35</f>
        <v>118000</v>
      </c>
    </row>
    <row r="36" customFormat="false" ht="15" hidden="false" customHeight="false" outlineLevel="0" collapsed="false">
      <c r="A36" s="10" t="s">
        <v>193</v>
      </c>
      <c r="B36" s="10" t="s">
        <v>194</v>
      </c>
      <c r="C36" s="10" t="s">
        <v>104</v>
      </c>
      <c r="D36" s="10" t="s">
        <v>105</v>
      </c>
      <c r="E36" s="10" t="s">
        <v>524</v>
      </c>
      <c r="F36" s="10" t="s">
        <v>565</v>
      </c>
      <c r="G36" s="14" t="n">
        <v>3</v>
      </c>
      <c r="H36" s="12" t="n">
        <f aca="false">INDEX(Products!$J$5:$J$93,MATCH(A36,Products!$A$5:$A$93,0))</f>
        <v>23600</v>
      </c>
      <c r="I36" s="12" t="n">
        <f aca="false">G36*H36</f>
        <v>70800</v>
      </c>
    </row>
    <row r="37" customFormat="false" ht="15" hidden="false" customHeight="false" outlineLevel="0" collapsed="false">
      <c r="A37" s="10" t="s">
        <v>193</v>
      </c>
      <c r="B37" s="10" t="s">
        <v>194</v>
      </c>
      <c r="C37" s="10" t="s">
        <v>104</v>
      </c>
      <c r="D37" s="10" t="s">
        <v>105</v>
      </c>
      <c r="E37" s="10" t="s">
        <v>530</v>
      </c>
      <c r="F37" s="10" t="s">
        <v>569</v>
      </c>
      <c r="G37" s="14" t="n">
        <v>3</v>
      </c>
      <c r="H37" s="12" t="n">
        <f aca="false">INDEX(Products!$J$5:$J$93,MATCH(A37,Products!$A$5:$A$93,0))</f>
        <v>23600</v>
      </c>
      <c r="I37" s="12" t="n">
        <f aca="false">G37*H37</f>
        <v>70800</v>
      </c>
    </row>
    <row r="38" customFormat="false" ht="15" hidden="false" customHeight="false" outlineLevel="0" collapsed="false">
      <c r="A38" s="10" t="s">
        <v>193</v>
      </c>
      <c r="B38" s="10" t="s">
        <v>194</v>
      </c>
      <c r="C38" s="10" t="s">
        <v>104</v>
      </c>
      <c r="D38" s="10" t="s">
        <v>105</v>
      </c>
      <c r="E38" s="10" t="s">
        <v>533</v>
      </c>
      <c r="F38" s="10" t="s">
        <v>573</v>
      </c>
      <c r="G38" s="14" t="n">
        <v>2</v>
      </c>
      <c r="H38" s="12" t="n">
        <f aca="false">INDEX(Products!$J$5:$J$93,MATCH(A38,Products!$A$5:$A$93,0))</f>
        <v>23600</v>
      </c>
      <c r="I38" s="12" t="n">
        <f aca="false">G38*H38</f>
        <v>47200</v>
      </c>
    </row>
    <row r="39" customFormat="false" ht="15" hidden="false" customHeight="false" outlineLevel="0" collapsed="false">
      <c r="A39" s="10" t="s">
        <v>193</v>
      </c>
      <c r="B39" s="10" t="s">
        <v>194</v>
      </c>
      <c r="C39" s="10" t="s">
        <v>104</v>
      </c>
      <c r="D39" s="10" t="s">
        <v>105</v>
      </c>
      <c r="E39" s="10" t="s">
        <v>536</v>
      </c>
      <c r="F39" s="10" t="s">
        <v>577</v>
      </c>
      <c r="G39" s="14" t="n">
        <v>2</v>
      </c>
      <c r="H39" s="12" t="n">
        <f aca="false">INDEX(Products!$J$5:$J$93,MATCH(A39,Products!$A$5:$A$93,0))</f>
        <v>23600</v>
      </c>
      <c r="I39" s="12" t="n">
        <f aca="false">G39*H39</f>
        <v>47200</v>
      </c>
    </row>
    <row r="40" customFormat="false" ht="15" hidden="false" customHeight="false" outlineLevel="0" collapsed="false">
      <c r="A40" s="10" t="s">
        <v>196</v>
      </c>
      <c r="B40" s="10" t="s">
        <v>197</v>
      </c>
      <c r="C40" s="10" t="s">
        <v>104</v>
      </c>
      <c r="D40" s="10" t="s">
        <v>105</v>
      </c>
      <c r="E40" s="10" t="s">
        <v>517</v>
      </c>
      <c r="F40" s="10" t="s">
        <v>552</v>
      </c>
      <c r="G40" s="14" t="n">
        <v>8</v>
      </c>
      <c r="H40" s="12" t="n">
        <f aca="false">INDEX(Products!$J$5:$J$93,MATCH(A40,Products!$A$5:$A$93,0))</f>
        <v>14550</v>
      </c>
      <c r="I40" s="12" t="n">
        <f aca="false">G40*H40</f>
        <v>116400</v>
      </c>
    </row>
    <row r="41" customFormat="false" ht="15" hidden="false" customHeight="false" outlineLevel="0" collapsed="false">
      <c r="A41" s="10" t="s">
        <v>196</v>
      </c>
      <c r="B41" s="10" t="s">
        <v>197</v>
      </c>
      <c r="C41" s="10" t="s">
        <v>104</v>
      </c>
      <c r="D41" s="10" t="s">
        <v>105</v>
      </c>
      <c r="E41" s="10" t="s">
        <v>524</v>
      </c>
      <c r="F41" s="10" t="s">
        <v>565</v>
      </c>
      <c r="G41" s="14" t="n">
        <v>4</v>
      </c>
      <c r="H41" s="12" t="n">
        <f aca="false">INDEX(Products!$J$5:$J$93,MATCH(A41,Products!$A$5:$A$93,0))</f>
        <v>14550</v>
      </c>
      <c r="I41" s="12" t="n">
        <f aca="false">G41*H41</f>
        <v>58200</v>
      </c>
    </row>
    <row r="42" customFormat="false" ht="15" hidden="false" customHeight="false" outlineLevel="0" collapsed="false">
      <c r="A42" s="10" t="s">
        <v>196</v>
      </c>
      <c r="B42" s="10" t="s">
        <v>197</v>
      </c>
      <c r="C42" s="10" t="s">
        <v>104</v>
      </c>
      <c r="D42" s="10" t="s">
        <v>105</v>
      </c>
      <c r="E42" s="10" t="s">
        <v>530</v>
      </c>
      <c r="F42" s="10" t="s">
        <v>569</v>
      </c>
      <c r="G42" s="14" t="n">
        <v>4</v>
      </c>
      <c r="H42" s="12" t="n">
        <f aca="false">INDEX(Products!$J$5:$J$93,MATCH(A42,Products!$A$5:$A$93,0))</f>
        <v>14550</v>
      </c>
      <c r="I42" s="12" t="n">
        <f aca="false">G42*H42</f>
        <v>58200</v>
      </c>
    </row>
    <row r="43" customFormat="false" ht="15" hidden="false" customHeight="false" outlineLevel="0" collapsed="false">
      <c r="A43" s="10" t="s">
        <v>196</v>
      </c>
      <c r="B43" s="10" t="s">
        <v>197</v>
      </c>
      <c r="C43" s="10" t="s">
        <v>104</v>
      </c>
      <c r="D43" s="10" t="s">
        <v>105</v>
      </c>
      <c r="E43" s="10" t="s">
        <v>533</v>
      </c>
      <c r="F43" s="10" t="s">
        <v>573</v>
      </c>
      <c r="G43" s="14" t="n">
        <v>3</v>
      </c>
      <c r="H43" s="12" t="n">
        <f aca="false">INDEX(Products!$J$5:$J$93,MATCH(A43,Products!$A$5:$A$93,0))</f>
        <v>14550</v>
      </c>
      <c r="I43" s="12" t="n">
        <f aca="false">G43*H43</f>
        <v>43650</v>
      </c>
    </row>
    <row r="44" customFormat="false" ht="15" hidden="false" customHeight="false" outlineLevel="0" collapsed="false">
      <c r="A44" s="10" t="s">
        <v>196</v>
      </c>
      <c r="B44" s="10" t="s">
        <v>197</v>
      </c>
      <c r="C44" s="10" t="s">
        <v>104</v>
      </c>
      <c r="D44" s="10" t="s">
        <v>105</v>
      </c>
      <c r="E44" s="10" t="s">
        <v>536</v>
      </c>
      <c r="F44" s="10" t="s">
        <v>577</v>
      </c>
      <c r="G44" s="14" t="n">
        <v>3</v>
      </c>
      <c r="H44" s="12" t="n">
        <f aca="false">INDEX(Products!$J$5:$J$93,MATCH(A44,Products!$A$5:$A$93,0))</f>
        <v>14550</v>
      </c>
      <c r="I44" s="12" t="n">
        <f aca="false">G44*H44</f>
        <v>43650</v>
      </c>
    </row>
    <row r="45" customFormat="false" ht="15" hidden="false" customHeight="false" outlineLevel="0" collapsed="false">
      <c r="A45" s="10" t="s">
        <v>199</v>
      </c>
      <c r="B45" s="10" t="s">
        <v>200</v>
      </c>
      <c r="C45" s="10" t="s">
        <v>107</v>
      </c>
      <c r="D45" s="10" t="s">
        <v>108</v>
      </c>
      <c r="E45" s="10" t="s">
        <v>517</v>
      </c>
      <c r="F45" s="10" t="s">
        <v>552</v>
      </c>
      <c r="G45" s="14" t="n">
        <v>10</v>
      </c>
      <c r="H45" s="12" t="n">
        <f aca="false">INDEX(Products!$J$5:$J$93,MATCH(A45,Products!$A$5:$A$93,0))</f>
        <v>24400</v>
      </c>
      <c r="I45" s="12" t="n">
        <f aca="false">G45*H45</f>
        <v>244000</v>
      </c>
    </row>
    <row r="46" customFormat="false" ht="15" hidden="false" customHeight="false" outlineLevel="0" collapsed="false">
      <c r="A46" s="10" t="s">
        <v>199</v>
      </c>
      <c r="B46" s="10" t="s">
        <v>200</v>
      </c>
      <c r="C46" s="10" t="s">
        <v>107</v>
      </c>
      <c r="D46" s="10" t="s">
        <v>108</v>
      </c>
      <c r="E46" s="10" t="s">
        <v>524</v>
      </c>
      <c r="F46" s="10" t="s">
        <v>565</v>
      </c>
      <c r="G46" s="14" t="n">
        <v>6</v>
      </c>
      <c r="H46" s="12" t="n">
        <f aca="false">INDEX(Products!$J$5:$J$93,MATCH(A46,Products!$A$5:$A$93,0))</f>
        <v>24400</v>
      </c>
      <c r="I46" s="12" t="n">
        <f aca="false">G46*H46</f>
        <v>146400</v>
      </c>
    </row>
    <row r="47" customFormat="false" ht="15" hidden="false" customHeight="false" outlineLevel="0" collapsed="false">
      <c r="A47" s="10" t="s">
        <v>199</v>
      </c>
      <c r="B47" s="10" t="s">
        <v>200</v>
      </c>
      <c r="C47" s="10" t="s">
        <v>107</v>
      </c>
      <c r="D47" s="10" t="s">
        <v>108</v>
      </c>
      <c r="E47" s="10" t="s">
        <v>530</v>
      </c>
      <c r="F47" s="10" t="s">
        <v>569</v>
      </c>
      <c r="G47" s="14" t="n">
        <v>5</v>
      </c>
      <c r="H47" s="12" t="n">
        <f aca="false">INDEX(Products!$J$5:$J$93,MATCH(A47,Products!$A$5:$A$93,0))</f>
        <v>24400</v>
      </c>
      <c r="I47" s="12" t="n">
        <f aca="false">G47*H47</f>
        <v>122000</v>
      </c>
    </row>
    <row r="48" customFormat="false" ht="15" hidden="false" customHeight="false" outlineLevel="0" collapsed="false">
      <c r="A48" s="10" t="s">
        <v>199</v>
      </c>
      <c r="B48" s="10" t="s">
        <v>200</v>
      </c>
      <c r="C48" s="10" t="s">
        <v>107</v>
      </c>
      <c r="D48" s="10" t="s">
        <v>108</v>
      </c>
      <c r="E48" s="10" t="s">
        <v>533</v>
      </c>
      <c r="F48" s="10" t="s">
        <v>573</v>
      </c>
      <c r="G48" s="14" t="n">
        <v>3</v>
      </c>
      <c r="H48" s="12" t="n">
        <f aca="false">INDEX(Products!$J$5:$J$93,MATCH(A48,Products!$A$5:$A$93,0))</f>
        <v>24400</v>
      </c>
      <c r="I48" s="12" t="n">
        <f aca="false">G48*H48</f>
        <v>73200</v>
      </c>
    </row>
    <row r="49" customFormat="false" ht="15" hidden="false" customHeight="false" outlineLevel="0" collapsed="false">
      <c r="A49" s="10" t="s">
        <v>199</v>
      </c>
      <c r="B49" s="10" t="s">
        <v>200</v>
      </c>
      <c r="C49" s="10" t="s">
        <v>107</v>
      </c>
      <c r="D49" s="10" t="s">
        <v>108</v>
      </c>
      <c r="E49" s="10" t="s">
        <v>536</v>
      </c>
      <c r="F49" s="10" t="s">
        <v>577</v>
      </c>
      <c r="G49" s="14" t="n">
        <v>4</v>
      </c>
      <c r="H49" s="12" t="n">
        <f aca="false">INDEX(Products!$J$5:$J$93,MATCH(A49,Products!$A$5:$A$93,0))</f>
        <v>24400</v>
      </c>
      <c r="I49" s="12" t="n">
        <f aca="false">G49*H49</f>
        <v>97600</v>
      </c>
    </row>
    <row r="50" customFormat="false" ht="15" hidden="false" customHeight="false" outlineLevel="0" collapsed="false">
      <c r="A50" s="10" t="s">
        <v>202</v>
      </c>
      <c r="B50" s="10" t="s">
        <v>203</v>
      </c>
      <c r="C50" s="10" t="s">
        <v>107</v>
      </c>
      <c r="D50" s="10" t="s">
        <v>108</v>
      </c>
      <c r="E50" s="10" t="s">
        <v>517</v>
      </c>
      <c r="F50" s="10" t="s">
        <v>552</v>
      </c>
      <c r="G50" s="14" t="n">
        <v>8</v>
      </c>
      <c r="H50" s="12" t="n">
        <f aca="false">INDEX(Products!$J$5:$J$93,MATCH(A50,Products!$A$5:$A$93,0))</f>
        <v>21600</v>
      </c>
      <c r="I50" s="12" t="n">
        <f aca="false">G50*H50</f>
        <v>172800</v>
      </c>
    </row>
    <row r="51" customFormat="false" ht="15" hidden="false" customHeight="false" outlineLevel="0" collapsed="false">
      <c r="A51" s="10" t="s">
        <v>202</v>
      </c>
      <c r="B51" s="10" t="s">
        <v>203</v>
      </c>
      <c r="C51" s="10" t="s">
        <v>107</v>
      </c>
      <c r="D51" s="10" t="s">
        <v>108</v>
      </c>
      <c r="E51" s="10" t="s">
        <v>524</v>
      </c>
      <c r="F51" s="10" t="s">
        <v>565</v>
      </c>
      <c r="G51" s="14" t="n">
        <v>5</v>
      </c>
      <c r="H51" s="12" t="n">
        <f aca="false">INDEX(Products!$J$5:$J$93,MATCH(A51,Products!$A$5:$A$93,0))</f>
        <v>21600</v>
      </c>
      <c r="I51" s="12" t="n">
        <f aca="false">G51*H51</f>
        <v>108000</v>
      </c>
    </row>
    <row r="52" customFormat="false" ht="15" hidden="false" customHeight="false" outlineLevel="0" collapsed="false">
      <c r="A52" s="10" t="s">
        <v>202</v>
      </c>
      <c r="B52" s="10" t="s">
        <v>203</v>
      </c>
      <c r="C52" s="10" t="s">
        <v>107</v>
      </c>
      <c r="D52" s="10" t="s">
        <v>108</v>
      </c>
      <c r="E52" s="10" t="s">
        <v>530</v>
      </c>
      <c r="F52" s="10" t="s">
        <v>569</v>
      </c>
      <c r="G52" s="14" t="n">
        <v>4</v>
      </c>
      <c r="H52" s="12" t="n">
        <f aca="false">INDEX(Products!$J$5:$J$93,MATCH(A52,Products!$A$5:$A$93,0))</f>
        <v>21600</v>
      </c>
      <c r="I52" s="12" t="n">
        <f aca="false">G52*H52</f>
        <v>86400</v>
      </c>
    </row>
    <row r="53" customFormat="false" ht="15" hidden="false" customHeight="false" outlineLevel="0" collapsed="false">
      <c r="A53" s="10" t="s">
        <v>202</v>
      </c>
      <c r="B53" s="10" t="s">
        <v>203</v>
      </c>
      <c r="C53" s="10" t="s">
        <v>107</v>
      </c>
      <c r="D53" s="10" t="s">
        <v>108</v>
      </c>
      <c r="E53" s="10" t="s">
        <v>533</v>
      </c>
      <c r="F53" s="10" t="s">
        <v>573</v>
      </c>
      <c r="G53" s="14" t="n">
        <v>3</v>
      </c>
      <c r="H53" s="12" t="n">
        <f aca="false">INDEX(Products!$J$5:$J$93,MATCH(A53,Products!$A$5:$A$93,0))</f>
        <v>21600</v>
      </c>
      <c r="I53" s="12" t="n">
        <f aca="false">G53*H53</f>
        <v>64800</v>
      </c>
    </row>
    <row r="54" customFormat="false" ht="15" hidden="false" customHeight="false" outlineLevel="0" collapsed="false">
      <c r="A54" s="10" t="s">
        <v>202</v>
      </c>
      <c r="B54" s="10" t="s">
        <v>203</v>
      </c>
      <c r="C54" s="10" t="s">
        <v>107</v>
      </c>
      <c r="D54" s="10" t="s">
        <v>108</v>
      </c>
      <c r="E54" s="10" t="s">
        <v>536</v>
      </c>
      <c r="F54" s="10" t="s">
        <v>577</v>
      </c>
      <c r="G54" s="14" t="n">
        <v>4</v>
      </c>
      <c r="H54" s="12" t="n">
        <f aca="false">INDEX(Products!$J$5:$J$93,MATCH(A54,Products!$A$5:$A$93,0))</f>
        <v>21600</v>
      </c>
      <c r="I54" s="12" t="n">
        <f aca="false">G54*H54</f>
        <v>86400</v>
      </c>
    </row>
    <row r="55" customFormat="false" ht="15" hidden="false" customHeight="false" outlineLevel="0" collapsed="false">
      <c r="A55" s="10" t="s">
        <v>205</v>
      </c>
      <c r="B55" s="10" t="s">
        <v>206</v>
      </c>
      <c r="C55" s="10" t="s">
        <v>107</v>
      </c>
      <c r="D55" s="10" t="s">
        <v>108</v>
      </c>
      <c r="E55" s="10" t="s">
        <v>517</v>
      </c>
      <c r="F55" s="10" t="s">
        <v>552</v>
      </c>
      <c r="G55" s="14" t="n">
        <v>14</v>
      </c>
      <c r="H55" s="12" t="n">
        <f aca="false">INDEX(Products!$J$5:$J$93,MATCH(A55,Products!$A$5:$A$93,0))</f>
        <v>16800</v>
      </c>
      <c r="I55" s="12" t="n">
        <f aca="false">G55*H55</f>
        <v>235200</v>
      </c>
    </row>
    <row r="56" customFormat="false" ht="15" hidden="false" customHeight="false" outlineLevel="0" collapsed="false">
      <c r="A56" s="10" t="s">
        <v>205</v>
      </c>
      <c r="B56" s="10" t="s">
        <v>206</v>
      </c>
      <c r="C56" s="10" t="s">
        <v>107</v>
      </c>
      <c r="D56" s="10" t="s">
        <v>108</v>
      </c>
      <c r="E56" s="10" t="s">
        <v>524</v>
      </c>
      <c r="F56" s="10" t="s">
        <v>565</v>
      </c>
      <c r="G56" s="14" t="n">
        <v>8</v>
      </c>
      <c r="H56" s="12" t="n">
        <f aca="false">INDEX(Products!$J$5:$J$93,MATCH(A56,Products!$A$5:$A$93,0))</f>
        <v>16800</v>
      </c>
      <c r="I56" s="12" t="n">
        <f aca="false">G56*H56</f>
        <v>134400</v>
      </c>
    </row>
    <row r="57" customFormat="false" ht="15" hidden="false" customHeight="false" outlineLevel="0" collapsed="false">
      <c r="A57" s="10" t="s">
        <v>205</v>
      </c>
      <c r="B57" s="10" t="s">
        <v>206</v>
      </c>
      <c r="C57" s="10" t="s">
        <v>107</v>
      </c>
      <c r="D57" s="10" t="s">
        <v>108</v>
      </c>
      <c r="E57" s="10" t="s">
        <v>530</v>
      </c>
      <c r="F57" s="10" t="s">
        <v>569</v>
      </c>
      <c r="G57" s="14" t="n">
        <v>7</v>
      </c>
      <c r="H57" s="12" t="n">
        <f aca="false">INDEX(Products!$J$5:$J$93,MATCH(A57,Products!$A$5:$A$93,0))</f>
        <v>16800</v>
      </c>
      <c r="I57" s="12" t="n">
        <f aca="false">G57*H57</f>
        <v>117600</v>
      </c>
    </row>
    <row r="58" customFormat="false" ht="15" hidden="false" customHeight="false" outlineLevel="0" collapsed="false">
      <c r="A58" s="10" t="s">
        <v>205</v>
      </c>
      <c r="B58" s="10" t="s">
        <v>206</v>
      </c>
      <c r="C58" s="10" t="s">
        <v>107</v>
      </c>
      <c r="D58" s="10" t="s">
        <v>108</v>
      </c>
      <c r="E58" s="10" t="s">
        <v>533</v>
      </c>
      <c r="F58" s="10" t="s">
        <v>573</v>
      </c>
      <c r="G58" s="14" t="n">
        <v>5</v>
      </c>
      <c r="H58" s="12" t="n">
        <f aca="false">INDEX(Products!$J$5:$J$93,MATCH(A58,Products!$A$5:$A$93,0))</f>
        <v>16800</v>
      </c>
      <c r="I58" s="12" t="n">
        <f aca="false">G58*H58</f>
        <v>84000</v>
      </c>
    </row>
    <row r="59" customFormat="false" ht="15" hidden="false" customHeight="false" outlineLevel="0" collapsed="false">
      <c r="A59" s="10" t="s">
        <v>205</v>
      </c>
      <c r="B59" s="10" t="s">
        <v>206</v>
      </c>
      <c r="C59" s="10" t="s">
        <v>107</v>
      </c>
      <c r="D59" s="10" t="s">
        <v>108</v>
      </c>
      <c r="E59" s="10" t="s">
        <v>536</v>
      </c>
      <c r="F59" s="10" t="s">
        <v>577</v>
      </c>
      <c r="G59" s="14" t="n">
        <v>6</v>
      </c>
      <c r="H59" s="12" t="n">
        <f aca="false">INDEX(Products!$J$5:$J$93,MATCH(A59,Products!$A$5:$A$93,0))</f>
        <v>16800</v>
      </c>
      <c r="I59" s="12" t="n">
        <f aca="false">G59*H59</f>
        <v>100800</v>
      </c>
    </row>
    <row r="60" customFormat="false" ht="15" hidden="false" customHeight="false" outlineLevel="0" collapsed="false">
      <c r="A60" s="10" t="s">
        <v>208</v>
      </c>
      <c r="B60" s="10" t="s">
        <v>209</v>
      </c>
      <c r="C60" s="10" t="s">
        <v>107</v>
      </c>
      <c r="D60" s="10" t="s">
        <v>108</v>
      </c>
      <c r="E60" s="10" t="s">
        <v>517</v>
      </c>
      <c r="F60" s="10" t="s">
        <v>552</v>
      </c>
      <c r="G60" s="14" t="n">
        <v>11</v>
      </c>
      <c r="H60" s="12" t="n">
        <f aca="false">INDEX(Products!$J$5:$J$93,MATCH(A60,Products!$A$5:$A$93,0))</f>
        <v>13450</v>
      </c>
      <c r="I60" s="12" t="n">
        <f aca="false">G60*H60</f>
        <v>147950</v>
      </c>
    </row>
    <row r="61" customFormat="false" ht="15" hidden="false" customHeight="false" outlineLevel="0" collapsed="false">
      <c r="A61" s="10" t="s">
        <v>208</v>
      </c>
      <c r="B61" s="10" t="s">
        <v>209</v>
      </c>
      <c r="C61" s="10" t="s">
        <v>107</v>
      </c>
      <c r="D61" s="10" t="s">
        <v>108</v>
      </c>
      <c r="E61" s="10" t="s">
        <v>524</v>
      </c>
      <c r="F61" s="10" t="s">
        <v>565</v>
      </c>
      <c r="G61" s="14" t="n">
        <v>6</v>
      </c>
      <c r="H61" s="12" t="n">
        <f aca="false">INDEX(Products!$J$5:$J$93,MATCH(A61,Products!$A$5:$A$93,0))</f>
        <v>13450</v>
      </c>
      <c r="I61" s="12" t="n">
        <f aca="false">G61*H61</f>
        <v>80700</v>
      </c>
    </row>
    <row r="62" customFormat="false" ht="15" hidden="false" customHeight="false" outlineLevel="0" collapsed="false">
      <c r="A62" s="10" t="s">
        <v>208</v>
      </c>
      <c r="B62" s="10" t="s">
        <v>209</v>
      </c>
      <c r="C62" s="10" t="s">
        <v>107</v>
      </c>
      <c r="D62" s="10" t="s">
        <v>108</v>
      </c>
      <c r="E62" s="10" t="s">
        <v>530</v>
      </c>
      <c r="F62" s="10" t="s">
        <v>569</v>
      </c>
      <c r="G62" s="14" t="n">
        <v>6</v>
      </c>
      <c r="H62" s="12" t="n">
        <f aca="false">INDEX(Products!$J$5:$J$93,MATCH(A62,Products!$A$5:$A$93,0))</f>
        <v>13450</v>
      </c>
      <c r="I62" s="12" t="n">
        <f aca="false">G62*H62</f>
        <v>80700</v>
      </c>
    </row>
    <row r="63" customFormat="false" ht="15" hidden="false" customHeight="false" outlineLevel="0" collapsed="false">
      <c r="A63" s="10" t="s">
        <v>208</v>
      </c>
      <c r="B63" s="10" t="s">
        <v>209</v>
      </c>
      <c r="C63" s="10" t="s">
        <v>107</v>
      </c>
      <c r="D63" s="10" t="s">
        <v>108</v>
      </c>
      <c r="E63" s="10" t="s">
        <v>533</v>
      </c>
      <c r="F63" s="10" t="s">
        <v>573</v>
      </c>
      <c r="G63" s="14" t="n">
        <v>4</v>
      </c>
      <c r="H63" s="12" t="n">
        <f aca="false">INDEX(Products!$J$5:$J$93,MATCH(A63,Products!$A$5:$A$93,0))</f>
        <v>13450</v>
      </c>
      <c r="I63" s="12" t="n">
        <f aca="false">G63*H63</f>
        <v>53800</v>
      </c>
    </row>
    <row r="64" customFormat="false" ht="15" hidden="false" customHeight="false" outlineLevel="0" collapsed="false">
      <c r="A64" s="10" t="s">
        <v>208</v>
      </c>
      <c r="B64" s="10" t="s">
        <v>209</v>
      </c>
      <c r="C64" s="10" t="s">
        <v>107</v>
      </c>
      <c r="D64" s="10" t="s">
        <v>108</v>
      </c>
      <c r="E64" s="10" t="s">
        <v>536</v>
      </c>
      <c r="F64" s="10" t="s">
        <v>577</v>
      </c>
      <c r="G64" s="14" t="n">
        <v>5</v>
      </c>
      <c r="H64" s="12" t="n">
        <f aca="false">INDEX(Products!$J$5:$J$93,MATCH(A64,Products!$A$5:$A$93,0))</f>
        <v>13450</v>
      </c>
      <c r="I64" s="12" t="n">
        <f aca="false">G64*H64</f>
        <v>67250</v>
      </c>
    </row>
    <row r="65" customFormat="false" ht="15" hidden="false" customHeight="false" outlineLevel="0" collapsed="false">
      <c r="A65" s="10" t="s">
        <v>211</v>
      </c>
      <c r="B65" s="10" t="s">
        <v>212</v>
      </c>
      <c r="C65" s="10" t="s">
        <v>107</v>
      </c>
      <c r="D65" s="10" t="s">
        <v>108</v>
      </c>
      <c r="E65" s="10" t="s">
        <v>517</v>
      </c>
      <c r="F65" s="10" t="s">
        <v>552</v>
      </c>
      <c r="G65" s="14" t="n">
        <v>9</v>
      </c>
      <c r="H65" s="12" t="n">
        <f aca="false">INDEX(Products!$J$5:$J$93,MATCH(A65,Products!$A$5:$A$93,0))</f>
        <v>16400</v>
      </c>
      <c r="I65" s="12" t="n">
        <f aca="false">G65*H65</f>
        <v>147600</v>
      </c>
    </row>
    <row r="66" customFormat="false" ht="15" hidden="false" customHeight="false" outlineLevel="0" collapsed="false">
      <c r="A66" s="10" t="s">
        <v>211</v>
      </c>
      <c r="B66" s="10" t="s">
        <v>212</v>
      </c>
      <c r="C66" s="10" t="s">
        <v>107</v>
      </c>
      <c r="D66" s="10" t="s">
        <v>108</v>
      </c>
      <c r="E66" s="10" t="s">
        <v>524</v>
      </c>
      <c r="F66" s="10" t="s">
        <v>565</v>
      </c>
      <c r="G66" s="14" t="n">
        <v>5</v>
      </c>
      <c r="H66" s="12" t="n">
        <f aca="false">INDEX(Products!$J$5:$J$93,MATCH(A66,Products!$A$5:$A$93,0))</f>
        <v>16400</v>
      </c>
      <c r="I66" s="12" t="n">
        <f aca="false">G66*H66</f>
        <v>82000</v>
      </c>
    </row>
    <row r="67" customFormat="false" ht="15" hidden="false" customHeight="false" outlineLevel="0" collapsed="false">
      <c r="A67" s="10" t="s">
        <v>211</v>
      </c>
      <c r="B67" s="10" t="s">
        <v>212</v>
      </c>
      <c r="C67" s="10" t="s">
        <v>107</v>
      </c>
      <c r="D67" s="10" t="s">
        <v>108</v>
      </c>
      <c r="E67" s="10" t="s">
        <v>530</v>
      </c>
      <c r="F67" s="10" t="s">
        <v>569</v>
      </c>
      <c r="G67" s="14" t="n">
        <v>5</v>
      </c>
      <c r="H67" s="12" t="n">
        <f aca="false">INDEX(Products!$J$5:$J$93,MATCH(A67,Products!$A$5:$A$93,0))</f>
        <v>16400</v>
      </c>
      <c r="I67" s="12" t="n">
        <f aca="false">G67*H67</f>
        <v>82000</v>
      </c>
    </row>
    <row r="68" customFormat="false" ht="15" hidden="false" customHeight="false" outlineLevel="0" collapsed="false">
      <c r="A68" s="10" t="s">
        <v>211</v>
      </c>
      <c r="B68" s="10" t="s">
        <v>212</v>
      </c>
      <c r="C68" s="10" t="s">
        <v>107</v>
      </c>
      <c r="D68" s="10" t="s">
        <v>108</v>
      </c>
      <c r="E68" s="10" t="s">
        <v>533</v>
      </c>
      <c r="F68" s="10" t="s">
        <v>573</v>
      </c>
      <c r="G68" s="14" t="n">
        <v>3</v>
      </c>
      <c r="H68" s="12" t="n">
        <f aca="false">INDEX(Products!$J$5:$J$93,MATCH(A68,Products!$A$5:$A$93,0))</f>
        <v>16400</v>
      </c>
      <c r="I68" s="12" t="n">
        <f aca="false">G68*H68</f>
        <v>49200</v>
      </c>
    </row>
    <row r="69" customFormat="false" ht="15" hidden="false" customHeight="false" outlineLevel="0" collapsed="false">
      <c r="A69" s="10" t="s">
        <v>211</v>
      </c>
      <c r="B69" s="10" t="s">
        <v>212</v>
      </c>
      <c r="C69" s="10" t="s">
        <v>107</v>
      </c>
      <c r="D69" s="10" t="s">
        <v>108</v>
      </c>
      <c r="E69" s="10" t="s">
        <v>536</v>
      </c>
      <c r="F69" s="10" t="s">
        <v>577</v>
      </c>
      <c r="G69" s="14" t="n">
        <v>4</v>
      </c>
      <c r="H69" s="12" t="n">
        <f aca="false">INDEX(Products!$J$5:$J$93,MATCH(A69,Products!$A$5:$A$93,0))</f>
        <v>16400</v>
      </c>
      <c r="I69" s="12" t="n">
        <f aca="false">G69*H69</f>
        <v>65600</v>
      </c>
    </row>
    <row r="70" customFormat="false" ht="15" hidden="false" customHeight="false" outlineLevel="0" collapsed="false">
      <c r="A70" s="10" t="s">
        <v>214</v>
      </c>
      <c r="B70" s="10" t="s">
        <v>215</v>
      </c>
      <c r="C70" s="10" t="s">
        <v>107</v>
      </c>
      <c r="D70" s="10" t="s">
        <v>108</v>
      </c>
      <c r="E70" s="10" t="s">
        <v>517</v>
      </c>
      <c r="F70" s="10" t="s">
        <v>552</v>
      </c>
      <c r="G70" s="14" t="n">
        <v>7</v>
      </c>
      <c r="H70" s="12" t="n">
        <f aca="false">INDEX(Products!$J$5:$J$93,MATCH(A70,Products!$A$5:$A$93,0))</f>
        <v>17600</v>
      </c>
      <c r="I70" s="12" t="n">
        <f aca="false">G70*H70</f>
        <v>123200</v>
      </c>
    </row>
    <row r="71" customFormat="false" ht="15" hidden="false" customHeight="false" outlineLevel="0" collapsed="false">
      <c r="A71" s="10" t="s">
        <v>214</v>
      </c>
      <c r="B71" s="10" t="s">
        <v>215</v>
      </c>
      <c r="C71" s="10" t="s">
        <v>107</v>
      </c>
      <c r="D71" s="10" t="s">
        <v>108</v>
      </c>
      <c r="E71" s="10" t="s">
        <v>524</v>
      </c>
      <c r="F71" s="10" t="s">
        <v>565</v>
      </c>
      <c r="G71" s="14" t="n">
        <v>4</v>
      </c>
      <c r="H71" s="12" t="n">
        <f aca="false">INDEX(Products!$J$5:$J$93,MATCH(A71,Products!$A$5:$A$93,0))</f>
        <v>17600</v>
      </c>
      <c r="I71" s="12" t="n">
        <f aca="false">G71*H71</f>
        <v>70400</v>
      </c>
    </row>
    <row r="72" customFormat="false" ht="15" hidden="false" customHeight="false" outlineLevel="0" collapsed="false">
      <c r="A72" s="10" t="s">
        <v>214</v>
      </c>
      <c r="B72" s="10" t="s">
        <v>215</v>
      </c>
      <c r="C72" s="10" t="s">
        <v>107</v>
      </c>
      <c r="D72" s="10" t="s">
        <v>108</v>
      </c>
      <c r="E72" s="10" t="s">
        <v>530</v>
      </c>
      <c r="F72" s="10" t="s">
        <v>569</v>
      </c>
      <c r="G72" s="14" t="n">
        <v>3</v>
      </c>
      <c r="H72" s="12" t="n">
        <f aca="false">INDEX(Products!$J$5:$J$93,MATCH(A72,Products!$A$5:$A$93,0))</f>
        <v>17600</v>
      </c>
      <c r="I72" s="12" t="n">
        <f aca="false">G72*H72</f>
        <v>52800</v>
      </c>
    </row>
    <row r="73" customFormat="false" ht="15" hidden="false" customHeight="false" outlineLevel="0" collapsed="false">
      <c r="A73" s="10" t="s">
        <v>214</v>
      </c>
      <c r="B73" s="10" t="s">
        <v>215</v>
      </c>
      <c r="C73" s="10" t="s">
        <v>107</v>
      </c>
      <c r="D73" s="10" t="s">
        <v>108</v>
      </c>
      <c r="E73" s="10" t="s">
        <v>533</v>
      </c>
      <c r="F73" s="10" t="s">
        <v>573</v>
      </c>
      <c r="G73" s="14" t="n">
        <v>2</v>
      </c>
      <c r="H73" s="12" t="n">
        <f aca="false">INDEX(Products!$J$5:$J$93,MATCH(A73,Products!$A$5:$A$93,0))</f>
        <v>17600</v>
      </c>
      <c r="I73" s="12" t="n">
        <f aca="false">G73*H73</f>
        <v>35200</v>
      </c>
    </row>
    <row r="74" customFormat="false" ht="15" hidden="false" customHeight="false" outlineLevel="0" collapsed="false">
      <c r="A74" s="10" t="s">
        <v>214</v>
      </c>
      <c r="B74" s="10" t="s">
        <v>215</v>
      </c>
      <c r="C74" s="10" t="s">
        <v>107</v>
      </c>
      <c r="D74" s="10" t="s">
        <v>108</v>
      </c>
      <c r="E74" s="10" t="s">
        <v>536</v>
      </c>
      <c r="F74" s="10" t="s">
        <v>577</v>
      </c>
      <c r="G74" s="14" t="n">
        <v>3</v>
      </c>
      <c r="H74" s="12" t="n">
        <f aca="false">INDEX(Products!$J$5:$J$93,MATCH(A74,Products!$A$5:$A$93,0))</f>
        <v>17600</v>
      </c>
      <c r="I74" s="12" t="n">
        <f aca="false">G74*H74</f>
        <v>52800</v>
      </c>
    </row>
    <row r="75" customFormat="false" ht="15" hidden="false" customHeight="false" outlineLevel="0" collapsed="false">
      <c r="A75" s="10" t="s">
        <v>217</v>
      </c>
      <c r="B75" s="10" t="s">
        <v>218</v>
      </c>
      <c r="C75" s="10" t="s">
        <v>107</v>
      </c>
      <c r="D75" s="10" t="s">
        <v>108</v>
      </c>
      <c r="E75" s="10" t="s">
        <v>517</v>
      </c>
      <c r="F75" s="10" t="s">
        <v>552</v>
      </c>
      <c r="G75" s="14" t="n">
        <v>5</v>
      </c>
      <c r="H75" s="12" t="n">
        <f aca="false">INDEX(Products!$J$5:$J$93,MATCH(A75,Products!$A$5:$A$93,0))</f>
        <v>28400</v>
      </c>
      <c r="I75" s="12" t="n">
        <f aca="false">G75*H75</f>
        <v>142000</v>
      </c>
    </row>
    <row r="76" customFormat="false" ht="15" hidden="false" customHeight="false" outlineLevel="0" collapsed="false">
      <c r="A76" s="10" t="s">
        <v>217</v>
      </c>
      <c r="B76" s="10" t="s">
        <v>218</v>
      </c>
      <c r="C76" s="10" t="s">
        <v>107</v>
      </c>
      <c r="D76" s="10" t="s">
        <v>108</v>
      </c>
      <c r="E76" s="10" t="s">
        <v>524</v>
      </c>
      <c r="F76" s="10" t="s">
        <v>565</v>
      </c>
      <c r="G76" s="14" t="n">
        <v>3</v>
      </c>
      <c r="H76" s="12" t="n">
        <f aca="false">INDEX(Products!$J$5:$J$93,MATCH(A76,Products!$A$5:$A$93,0))</f>
        <v>28400</v>
      </c>
      <c r="I76" s="12" t="n">
        <f aca="false">G76*H76</f>
        <v>85200</v>
      </c>
    </row>
    <row r="77" customFormat="false" ht="15" hidden="false" customHeight="false" outlineLevel="0" collapsed="false">
      <c r="A77" s="10" t="s">
        <v>217</v>
      </c>
      <c r="B77" s="10" t="s">
        <v>218</v>
      </c>
      <c r="C77" s="10" t="s">
        <v>107</v>
      </c>
      <c r="D77" s="10" t="s">
        <v>108</v>
      </c>
      <c r="E77" s="10" t="s">
        <v>530</v>
      </c>
      <c r="F77" s="10" t="s">
        <v>569</v>
      </c>
      <c r="G77" s="14" t="n">
        <v>2</v>
      </c>
      <c r="H77" s="12" t="n">
        <f aca="false">INDEX(Products!$J$5:$J$93,MATCH(A77,Products!$A$5:$A$93,0))</f>
        <v>28400</v>
      </c>
      <c r="I77" s="12" t="n">
        <f aca="false">G77*H77</f>
        <v>56800</v>
      </c>
    </row>
    <row r="78" customFormat="false" ht="15" hidden="false" customHeight="false" outlineLevel="0" collapsed="false">
      <c r="A78" s="10" t="s">
        <v>217</v>
      </c>
      <c r="B78" s="10" t="s">
        <v>218</v>
      </c>
      <c r="C78" s="10" t="s">
        <v>107</v>
      </c>
      <c r="D78" s="10" t="s">
        <v>108</v>
      </c>
      <c r="E78" s="10" t="s">
        <v>533</v>
      </c>
      <c r="F78" s="10" t="s">
        <v>573</v>
      </c>
      <c r="G78" s="14" t="n">
        <v>2</v>
      </c>
      <c r="H78" s="12" t="n">
        <f aca="false">INDEX(Products!$J$5:$J$93,MATCH(A78,Products!$A$5:$A$93,0))</f>
        <v>28400</v>
      </c>
      <c r="I78" s="12" t="n">
        <f aca="false">G78*H78</f>
        <v>56800</v>
      </c>
    </row>
    <row r="79" customFormat="false" ht="15" hidden="false" customHeight="false" outlineLevel="0" collapsed="false">
      <c r="A79" s="10" t="s">
        <v>217</v>
      </c>
      <c r="B79" s="10" t="s">
        <v>218</v>
      </c>
      <c r="C79" s="10" t="s">
        <v>107</v>
      </c>
      <c r="D79" s="10" t="s">
        <v>108</v>
      </c>
      <c r="E79" s="10" t="s">
        <v>536</v>
      </c>
      <c r="F79" s="10" t="s">
        <v>577</v>
      </c>
      <c r="G79" s="14" t="n">
        <v>2</v>
      </c>
      <c r="H79" s="12" t="n">
        <f aca="false">INDEX(Products!$J$5:$J$93,MATCH(A79,Products!$A$5:$A$93,0))</f>
        <v>28400</v>
      </c>
      <c r="I79" s="12" t="n">
        <f aca="false">G79*H79</f>
        <v>56800</v>
      </c>
    </row>
    <row r="80" customFormat="false" ht="15" hidden="false" customHeight="false" outlineLevel="0" collapsed="false">
      <c r="A80" s="10" t="s">
        <v>220</v>
      </c>
      <c r="B80" s="10" t="s">
        <v>221</v>
      </c>
      <c r="C80" s="10" t="s">
        <v>107</v>
      </c>
      <c r="D80" s="10" t="s">
        <v>108</v>
      </c>
      <c r="E80" s="10" t="s">
        <v>517</v>
      </c>
      <c r="F80" s="10" t="s">
        <v>552</v>
      </c>
      <c r="G80" s="14" t="n">
        <v>6</v>
      </c>
      <c r="H80" s="12" t="n">
        <f aca="false">INDEX(Products!$J$5:$J$93,MATCH(A80,Products!$A$5:$A$93,0))</f>
        <v>22400</v>
      </c>
      <c r="I80" s="12" t="n">
        <f aca="false">G80*H80</f>
        <v>134400</v>
      </c>
    </row>
    <row r="81" customFormat="false" ht="15" hidden="false" customHeight="false" outlineLevel="0" collapsed="false">
      <c r="A81" s="10" t="s">
        <v>220</v>
      </c>
      <c r="B81" s="10" t="s">
        <v>221</v>
      </c>
      <c r="C81" s="10" t="s">
        <v>107</v>
      </c>
      <c r="D81" s="10" t="s">
        <v>108</v>
      </c>
      <c r="E81" s="10" t="s">
        <v>524</v>
      </c>
      <c r="F81" s="10" t="s">
        <v>565</v>
      </c>
      <c r="G81" s="14" t="n">
        <v>3</v>
      </c>
      <c r="H81" s="12" t="n">
        <f aca="false">INDEX(Products!$J$5:$J$93,MATCH(A81,Products!$A$5:$A$93,0))</f>
        <v>22400</v>
      </c>
      <c r="I81" s="12" t="n">
        <f aca="false">G81*H81</f>
        <v>67200</v>
      </c>
    </row>
    <row r="82" customFormat="false" ht="15" hidden="false" customHeight="false" outlineLevel="0" collapsed="false">
      <c r="A82" s="10" t="s">
        <v>220</v>
      </c>
      <c r="B82" s="10" t="s">
        <v>221</v>
      </c>
      <c r="C82" s="10" t="s">
        <v>107</v>
      </c>
      <c r="D82" s="10" t="s">
        <v>108</v>
      </c>
      <c r="E82" s="10" t="s">
        <v>530</v>
      </c>
      <c r="F82" s="10" t="s">
        <v>569</v>
      </c>
      <c r="G82" s="14" t="n">
        <v>3</v>
      </c>
      <c r="H82" s="12" t="n">
        <f aca="false">INDEX(Products!$J$5:$J$93,MATCH(A82,Products!$A$5:$A$93,0))</f>
        <v>22400</v>
      </c>
      <c r="I82" s="12" t="n">
        <f aca="false">G82*H82</f>
        <v>67200</v>
      </c>
    </row>
    <row r="83" customFormat="false" ht="15" hidden="false" customHeight="false" outlineLevel="0" collapsed="false">
      <c r="A83" s="10" t="s">
        <v>220</v>
      </c>
      <c r="B83" s="10" t="s">
        <v>221</v>
      </c>
      <c r="C83" s="10" t="s">
        <v>107</v>
      </c>
      <c r="D83" s="10" t="s">
        <v>108</v>
      </c>
      <c r="E83" s="10" t="s">
        <v>533</v>
      </c>
      <c r="F83" s="10" t="s">
        <v>573</v>
      </c>
      <c r="G83" s="14" t="n">
        <v>2</v>
      </c>
      <c r="H83" s="12" t="n">
        <f aca="false">INDEX(Products!$J$5:$J$93,MATCH(A83,Products!$A$5:$A$93,0))</f>
        <v>22400</v>
      </c>
      <c r="I83" s="12" t="n">
        <f aca="false">G83*H83</f>
        <v>44800</v>
      </c>
    </row>
    <row r="84" customFormat="false" ht="15" hidden="false" customHeight="false" outlineLevel="0" collapsed="false">
      <c r="A84" s="10" t="s">
        <v>220</v>
      </c>
      <c r="B84" s="10" t="s">
        <v>221</v>
      </c>
      <c r="C84" s="10" t="s">
        <v>107</v>
      </c>
      <c r="D84" s="10" t="s">
        <v>108</v>
      </c>
      <c r="E84" s="10" t="s">
        <v>536</v>
      </c>
      <c r="F84" s="10" t="s">
        <v>577</v>
      </c>
      <c r="G84" s="14" t="n">
        <v>3</v>
      </c>
      <c r="H84" s="12" t="n">
        <f aca="false">INDEX(Products!$J$5:$J$93,MATCH(A84,Products!$A$5:$A$93,0))</f>
        <v>22400</v>
      </c>
      <c r="I84" s="12" t="n">
        <f aca="false">G84*H84</f>
        <v>67200</v>
      </c>
    </row>
    <row r="85" customFormat="false" ht="15" hidden="false" customHeight="false" outlineLevel="0" collapsed="false">
      <c r="A85" s="10" t="s">
        <v>223</v>
      </c>
      <c r="B85" s="10" t="s">
        <v>224</v>
      </c>
      <c r="C85" s="10" t="s">
        <v>91</v>
      </c>
      <c r="D85" s="10" t="s">
        <v>95</v>
      </c>
      <c r="E85" s="10" t="s">
        <v>517</v>
      </c>
      <c r="F85" s="10" t="s">
        <v>561</v>
      </c>
      <c r="G85" s="14" t="n">
        <v>2</v>
      </c>
      <c r="H85" s="12" t="n">
        <f aca="false">INDEX(Products!$J$5:$J$93,MATCH(A85,Products!$A$5:$A$93,0))</f>
        <v>22550</v>
      </c>
      <c r="I85" s="12" t="n">
        <f aca="false">G85*H85</f>
        <v>45100</v>
      </c>
    </row>
    <row r="86" customFormat="false" ht="15" hidden="false" customHeight="false" outlineLevel="0" collapsed="false">
      <c r="A86" s="10" t="s">
        <v>223</v>
      </c>
      <c r="B86" s="10" t="s">
        <v>224</v>
      </c>
      <c r="C86" s="10" t="s">
        <v>91</v>
      </c>
      <c r="D86" s="10" t="s">
        <v>95</v>
      </c>
      <c r="E86" s="10" t="s">
        <v>517</v>
      </c>
      <c r="F86" s="10" t="s">
        <v>552</v>
      </c>
      <c r="G86" s="14" t="n">
        <v>14</v>
      </c>
      <c r="H86" s="12" t="n">
        <f aca="false">INDEX(Products!$J$5:$J$93,MATCH(A86,Products!$A$5:$A$93,0))</f>
        <v>22550</v>
      </c>
      <c r="I86" s="12" t="n">
        <f aca="false">G86*H86</f>
        <v>315700</v>
      </c>
    </row>
    <row r="87" customFormat="false" ht="15" hidden="false" customHeight="false" outlineLevel="0" collapsed="false">
      <c r="A87" s="10" t="s">
        <v>223</v>
      </c>
      <c r="B87" s="10" t="s">
        <v>224</v>
      </c>
      <c r="C87" s="10" t="s">
        <v>91</v>
      </c>
      <c r="D87" s="10" t="s">
        <v>95</v>
      </c>
      <c r="E87" s="10" t="s">
        <v>524</v>
      </c>
      <c r="F87" s="10" t="s">
        <v>565</v>
      </c>
      <c r="G87" s="14" t="n">
        <v>9</v>
      </c>
      <c r="H87" s="12" t="n">
        <f aca="false">INDEX(Products!$J$5:$J$93,MATCH(A87,Products!$A$5:$A$93,0))</f>
        <v>22550</v>
      </c>
      <c r="I87" s="12" t="n">
        <f aca="false">G87*H87</f>
        <v>202950</v>
      </c>
    </row>
    <row r="88" customFormat="false" ht="15" hidden="false" customHeight="false" outlineLevel="0" collapsed="false">
      <c r="A88" s="10" t="s">
        <v>223</v>
      </c>
      <c r="B88" s="10" t="s">
        <v>224</v>
      </c>
      <c r="C88" s="10" t="s">
        <v>91</v>
      </c>
      <c r="D88" s="10" t="s">
        <v>95</v>
      </c>
      <c r="E88" s="10" t="s">
        <v>530</v>
      </c>
      <c r="F88" s="10" t="s">
        <v>569</v>
      </c>
      <c r="G88" s="14" t="n">
        <v>8</v>
      </c>
      <c r="H88" s="12" t="n">
        <f aca="false">INDEX(Products!$J$5:$J$93,MATCH(A88,Products!$A$5:$A$93,0))</f>
        <v>22550</v>
      </c>
      <c r="I88" s="12" t="n">
        <f aca="false">G88*H88</f>
        <v>180400</v>
      </c>
    </row>
    <row r="89" customFormat="false" ht="15" hidden="false" customHeight="false" outlineLevel="0" collapsed="false">
      <c r="A89" s="10" t="s">
        <v>223</v>
      </c>
      <c r="B89" s="10" t="s">
        <v>224</v>
      </c>
      <c r="C89" s="10" t="s">
        <v>91</v>
      </c>
      <c r="D89" s="10" t="s">
        <v>95</v>
      </c>
      <c r="E89" s="10" t="s">
        <v>533</v>
      </c>
      <c r="F89" s="10" t="s">
        <v>573</v>
      </c>
      <c r="G89" s="14" t="n">
        <v>5</v>
      </c>
      <c r="H89" s="12" t="n">
        <f aca="false">INDEX(Products!$J$5:$J$93,MATCH(A89,Products!$A$5:$A$93,0))</f>
        <v>22550</v>
      </c>
      <c r="I89" s="12" t="n">
        <f aca="false">G89*H89</f>
        <v>112750</v>
      </c>
    </row>
    <row r="90" customFormat="false" ht="15" hidden="false" customHeight="false" outlineLevel="0" collapsed="false">
      <c r="A90" s="10" t="s">
        <v>223</v>
      </c>
      <c r="B90" s="10" t="s">
        <v>224</v>
      </c>
      <c r="C90" s="10" t="s">
        <v>91</v>
      </c>
      <c r="D90" s="10" t="s">
        <v>95</v>
      </c>
      <c r="E90" s="10" t="s">
        <v>536</v>
      </c>
      <c r="F90" s="10" t="s">
        <v>577</v>
      </c>
      <c r="G90" s="14" t="n">
        <v>7</v>
      </c>
      <c r="H90" s="12" t="n">
        <f aca="false">INDEX(Products!$J$5:$J$93,MATCH(A90,Products!$A$5:$A$93,0))</f>
        <v>22550</v>
      </c>
      <c r="I90" s="12" t="n">
        <f aca="false">G90*H90</f>
        <v>157850</v>
      </c>
    </row>
    <row r="91" customFormat="false" ht="15" hidden="false" customHeight="false" outlineLevel="0" collapsed="false">
      <c r="A91" s="10" t="s">
        <v>228</v>
      </c>
      <c r="B91" s="10" t="s">
        <v>229</v>
      </c>
      <c r="C91" s="10" t="s">
        <v>91</v>
      </c>
      <c r="D91" s="10" t="s">
        <v>95</v>
      </c>
      <c r="E91" s="10" t="s">
        <v>517</v>
      </c>
      <c r="F91" s="10" t="s">
        <v>561</v>
      </c>
      <c r="G91" s="14" t="n">
        <v>2</v>
      </c>
      <c r="H91" s="12" t="n">
        <f aca="false">INDEX(Products!$J$5:$J$93,MATCH(A91,Products!$A$5:$A$93,0))</f>
        <v>18850</v>
      </c>
      <c r="I91" s="12" t="n">
        <f aca="false">G91*H91</f>
        <v>37700</v>
      </c>
    </row>
    <row r="92" customFormat="false" ht="15" hidden="false" customHeight="false" outlineLevel="0" collapsed="false">
      <c r="A92" s="10" t="s">
        <v>228</v>
      </c>
      <c r="B92" s="10" t="s">
        <v>229</v>
      </c>
      <c r="C92" s="10" t="s">
        <v>91</v>
      </c>
      <c r="D92" s="10" t="s">
        <v>95</v>
      </c>
      <c r="E92" s="10" t="s">
        <v>517</v>
      </c>
      <c r="F92" s="10" t="s">
        <v>552</v>
      </c>
      <c r="G92" s="14" t="n">
        <v>16</v>
      </c>
      <c r="H92" s="12" t="n">
        <f aca="false">INDEX(Products!$J$5:$J$93,MATCH(A92,Products!$A$5:$A$93,0))</f>
        <v>18850</v>
      </c>
      <c r="I92" s="12" t="n">
        <f aca="false">G92*H92</f>
        <v>301600</v>
      </c>
    </row>
    <row r="93" customFormat="false" ht="15" hidden="false" customHeight="false" outlineLevel="0" collapsed="false">
      <c r="A93" s="10" t="s">
        <v>228</v>
      </c>
      <c r="B93" s="10" t="s">
        <v>229</v>
      </c>
      <c r="C93" s="10" t="s">
        <v>91</v>
      </c>
      <c r="D93" s="10" t="s">
        <v>95</v>
      </c>
      <c r="E93" s="10" t="s">
        <v>524</v>
      </c>
      <c r="F93" s="10" t="s">
        <v>565</v>
      </c>
      <c r="G93" s="14" t="n">
        <v>10</v>
      </c>
      <c r="H93" s="12" t="n">
        <f aca="false">INDEX(Products!$J$5:$J$93,MATCH(A93,Products!$A$5:$A$93,0))</f>
        <v>18850</v>
      </c>
      <c r="I93" s="12" t="n">
        <f aca="false">G93*H93</f>
        <v>188500</v>
      </c>
    </row>
    <row r="94" customFormat="false" ht="15" hidden="false" customHeight="false" outlineLevel="0" collapsed="false">
      <c r="A94" s="10" t="s">
        <v>228</v>
      </c>
      <c r="B94" s="10" t="s">
        <v>229</v>
      </c>
      <c r="C94" s="10" t="s">
        <v>91</v>
      </c>
      <c r="D94" s="10" t="s">
        <v>95</v>
      </c>
      <c r="E94" s="10" t="s">
        <v>530</v>
      </c>
      <c r="F94" s="10" t="s">
        <v>569</v>
      </c>
      <c r="G94" s="14" t="n">
        <v>9</v>
      </c>
      <c r="H94" s="12" t="n">
        <f aca="false">INDEX(Products!$J$5:$J$93,MATCH(A94,Products!$A$5:$A$93,0))</f>
        <v>18850</v>
      </c>
      <c r="I94" s="12" t="n">
        <f aca="false">G94*H94</f>
        <v>169650</v>
      </c>
    </row>
    <row r="95" customFormat="false" ht="15" hidden="false" customHeight="false" outlineLevel="0" collapsed="false">
      <c r="A95" s="10" t="s">
        <v>228</v>
      </c>
      <c r="B95" s="10" t="s">
        <v>229</v>
      </c>
      <c r="C95" s="10" t="s">
        <v>91</v>
      </c>
      <c r="D95" s="10" t="s">
        <v>95</v>
      </c>
      <c r="E95" s="10" t="s">
        <v>533</v>
      </c>
      <c r="F95" s="10" t="s">
        <v>573</v>
      </c>
      <c r="G95" s="14" t="n">
        <v>6</v>
      </c>
      <c r="H95" s="12" t="n">
        <f aca="false">INDEX(Products!$J$5:$J$93,MATCH(A95,Products!$A$5:$A$93,0))</f>
        <v>18850</v>
      </c>
      <c r="I95" s="12" t="n">
        <f aca="false">G95*H95</f>
        <v>113100</v>
      </c>
    </row>
    <row r="96" customFormat="false" ht="15" hidden="false" customHeight="false" outlineLevel="0" collapsed="false">
      <c r="A96" s="10" t="s">
        <v>228</v>
      </c>
      <c r="B96" s="10" t="s">
        <v>229</v>
      </c>
      <c r="C96" s="10" t="s">
        <v>91</v>
      </c>
      <c r="D96" s="10" t="s">
        <v>95</v>
      </c>
      <c r="E96" s="10" t="s">
        <v>536</v>
      </c>
      <c r="F96" s="10" t="s">
        <v>577</v>
      </c>
      <c r="G96" s="14" t="n">
        <v>7</v>
      </c>
      <c r="H96" s="12" t="n">
        <f aca="false">INDEX(Products!$J$5:$J$93,MATCH(A96,Products!$A$5:$A$93,0))</f>
        <v>18850</v>
      </c>
      <c r="I96" s="12" t="n">
        <f aca="false">G96*H96</f>
        <v>131950</v>
      </c>
    </row>
    <row r="97" customFormat="false" ht="15" hidden="false" customHeight="false" outlineLevel="0" collapsed="false">
      <c r="A97" s="10" t="s">
        <v>231</v>
      </c>
      <c r="B97" s="10" t="s">
        <v>232</v>
      </c>
      <c r="C97" s="10" t="s">
        <v>91</v>
      </c>
      <c r="D97" s="10" t="s">
        <v>95</v>
      </c>
      <c r="E97" s="10" t="s">
        <v>517</v>
      </c>
      <c r="F97" s="10" t="s">
        <v>561</v>
      </c>
      <c r="G97" s="14" t="n">
        <v>2</v>
      </c>
      <c r="H97" s="12" t="n">
        <f aca="false">INDEX(Products!$J$5:$J$93,MATCH(A97,Products!$A$5:$A$93,0))</f>
        <v>30350</v>
      </c>
      <c r="I97" s="12" t="n">
        <f aca="false">G97*H97</f>
        <v>60700</v>
      </c>
    </row>
    <row r="98" customFormat="false" ht="15" hidden="false" customHeight="false" outlineLevel="0" collapsed="false">
      <c r="A98" s="10" t="s">
        <v>231</v>
      </c>
      <c r="B98" s="10" t="s">
        <v>232</v>
      </c>
      <c r="C98" s="10" t="s">
        <v>91</v>
      </c>
      <c r="D98" s="10" t="s">
        <v>95</v>
      </c>
      <c r="E98" s="10" t="s">
        <v>517</v>
      </c>
      <c r="F98" s="10" t="s">
        <v>552</v>
      </c>
      <c r="G98" s="14" t="n">
        <v>9</v>
      </c>
      <c r="H98" s="12" t="n">
        <f aca="false">INDEX(Products!$J$5:$J$93,MATCH(A98,Products!$A$5:$A$93,0))</f>
        <v>30350</v>
      </c>
      <c r="I98" s="12" t="n">
        <f aca="false">G98*H98</f>
        <v>273150</v>
      </c>
    </row>
    <row r="99" customFormat="false" ht="15" hidden="false" customHeight="false" outlineLevel="0" collapsed="false">
      <c r="A99" s="10" t="s">
        <v>231</v>
      </c>
      <c r="B99" s="10" t="s">
        <v>232</v>
      </c>
      <c r="C99" s="10" t="s">
        <v>91</v>
      </c>
      <c r="D99" s="10" t="s">
        <v>95</v>
      </c>
      <c r="E99" s="10" t="s">
        <v>524</v>
      </c>
      <c r="F99" s="10" t="s">
        <v>565</v>
      </c>
      <c r="G99" s="14" t="n">
        <v>6</v>
      </c>
      <c r="H99" s="12" t="n">
        <f aca="false">INDEX(Products!$J$5:$J$93,MATCH(A99,Products!$A$5:$A$93,0))</f>
        <v>30350</v>
      </c>
      <c r="I99" s="12" t="n">
        <f aca="false">G99*H99</f>
        <v>182100</v>
      </c>
    </row>
    <row r="100" customFormat="false" ht="15" hidden="false" customHeight="false" outlineLevel="0" collapsed="false">
      <c r="A100" s="10" t="s">
        <v>231</v>
      </c>
      <c r="B100" s="10" t="s">
        <v>232</v>
      </c>
      <c r="C100" s="10" t="s">
        <v>91</v>
      </c>
      <c r="D100" s="10" t="s">
        <v>95</v>
      </c>
      <c r="E100" s="10" t="s">
        <v>530</v>
      </c>
      <c r="F100" s="10" t="s">
        <v>569</v>
      </c>
      <c r="G100" s="14" t="n">
        <v>5</v>
      </c>
      <c r="H100" s="22" t="n">
        <f aca="false">INDEX(Products!$J$5:$J$93,MATCH(A100,Products!$A$5:$A$93,0))</f>
        <v>30350</v>
      </c>
      <c r="I100" s="12" t="n">
        <f aca="false">G100*H100</f>
        <v>151750</v>
      </c>
    </row>
    <row r="101" customFormat="false" ht="15" hidden="false" customHeight="false" outlineLevel="0" collapsed="false">
      <c r="A101" s="10" t="s">
        <v>231</v>
      </c>
      <c r="B101" s="10" t="s">
        <v>232</v>
      </c>
      <c r="C101" s="10" t="s">
        <v>91</v>
      </c>
      <c r="D101" s="10" t="s">
        <v>95</v>
      </c>
      <c r="E101" s="10" t="s">
        <v>533</v>
      </c>
      <c r="F101" s="10" t="s">
        <v>573</v>
      </c>
      <c r="G101" s="14" t="n">
        <v>4</v>
      </c>
      <c r="H101" s="22" t="n">
        <f aca="false">INDEX(Products!$J$5:$J$93,MATCH(A101,Products!$A$5:$A$93,0))</f>
        <v>30350</v>
      </c>
      <c r="I101" s="12" t="n">
        <f aca="false">G101*H101</f>
        <v>121400</v>
      </c>
    </row>
    <row r="102" customFormat="false" ht="15" hidden="false" customHeight="false" outlineLevel="0" collapsed="false">
      <c r="A102" s="10" t="s">
        <v>231</v>
      </c>
      <c r="B102" s="10" t="s">
        <v>232</v>
      </c>
      <c r="C102" s="10" t="s">
        <v>91</v>
      </c>
      <c r="D102" s="10" t="s">
        <v>95</v>
      </c>
      <c r="E102" s="10" t="s">
        <v>536</v>
      </c>
      <c r="F102" s="10" t="s">
        <v>577</v>
      </c>
      <c r="G102" s="14" t="n">
        <v>4</v>
      </c>
      <c r="H102" s="22" t="n">
        <f aca="false">INDEX(Products!$J$5:$J$93,MATCH(A102,Products!$A$5:$A$93,0))</f>
        <v>30350</v>
      </c>
      <c r="I102" s="12" t="n">
        <f aca="false">G102*H102</f>
        <v>121400</v>
      </c>
    </row>
    <row r="103" customFormat="false" ht="15" hidden="false" customHeight="false" outlineLevel="0" collapsed="false">
      <c r="A103" s="10" t="s">
        <v>234</v>
      </c>
      <c r="B103" s="10" t="s">
        <v>235</v>
      </c>
      <c r="C103" s="10" t="s">
        <v>91</v>
      </c>
      <c r="D103" s="10" t="s">
        <v>95</v>
      </c>
      <c r="E103" s="10" t="s">
        <v>517</v>
      </c>
      <c r="F103" s="10" t="s">
        <v>561</v>
      </c>
      <c r="G103" s="14" t="n">
        <v>2</v>
      </c>
      <c r="H103" s="22" t="n">
        <f aca="false">INDEX(Products!$J$5:$J$93,MATCH(A103,Products!$A$5:$A$93,0))</f>
        <v>40600</v>
      </c>
      <c r="I103" s="12" t="n">
        <f aca="false">G103*H103</f>
        <v>81200</v>
      </c>
    </row>
    <row r="104" customFormat="false" ht="15" hidden="false" customHeight="false" outlineLevel="0" collapsed="false">
      <c r="A104" s="10" t="s">
        <v>234</v>
      </c>
      <c r="B104" s="10" t="s">
        <v>235</v>
      </c>
      <c r="C104" s="10" t="s">
        <v>91</v>
      </c>
      <c r="D104" s="10" t="s">
        <v>95</v>
      </c>
      <c r="E104" s="10" t="s">
        <v>517</v>
      </c>
      <c r="F104" s="10" t="s">
        <v>552</v>
      </c>
      <c r="G104" s="14" t="n">
        <v>4</v>
      </c>
      <c r="H104" s="22" t="n">
        <f aca="false">INDEX(Products!$J$5:$J$93,MATCH(A104,Products!$A$5:$A$93,0))</f>
        <v>40600</v>
      </c>
      <c r="I104" s="12" t="n">
        <f aca="false">G104*H104</f>
        <v>162400</v>
      </c>
    </row>
    <row r="105" customFormat="false" ht="15" hidden="false" customHeight="false" outlineLevel="0" collapsed="false">
      <c r="A105" s="10" t="s">
        <v>234</v>
      </c>
      <c r="B105" s="10" t="s">
        <v>235</v>
      </c>
      <c r="C105" s="10" t="s">
        <v>91</v>
      </c>
      <c r="D105" s="10" t="s">
        <v>95</v>
      </c>
      <c r="E105" s="10" t="s">
        <v>524</v>
      </c>
      <c r="F105" s="10" t="s">
        <v>565</v>
      </c>
      <c r="G105" s="14" t="n">
        <v>3</v>
      </c>
      <c r="H105" s="22" t="n">
        <f aca="false">INDEX(Products!$J$5:$J$93,MATCH(A105,Products!$A$5:$A$93,0))</f>
        <v>40600</v>
      </c>
      <c r="I105" s="12" t="n">
        <f aca="false">G105*H105</f>
        <v>121800</v>
      </c>
    </row>
    <row r="106" customFormat="false" ht="15" hidden="false" customHeight="false" outlineLevel="0" collapsed="false">
      <c r="A106" s="10" t="s">
        <v>234</v>
      </c>
      <c r="B106" s="10" t="s">
        <v>235</v>
      </c>
      <c r="C106" s="10" t="s">
        <v>91</v>
      </c>
      <c r="D106" s="10" t="s">
        <v>95</v>
      </c>
      <c r="E106" s="10" t="s">
        <v>530</v>
      </c>
      <c r="F106" s="10" t="s">
        <v>569</v>
      </c>
      <c r="G106" s="14" t="n">
        <v>3</v>
      </c>
      <c r="H106" s="22" t="n">
        <f aca="false">INDEX(Products!$J$5:$J$93,MATCH(A106,Products!$A$5:$A$93,0))</f>
        <v>40600</v>
      </c>
      <c r="I106" s="12" t="n">
        <f aca="false">G106*H106</f>
        <v>121800</v>
      </c>
    </row>
    <row r="107" customFormat="false" ht="15" hidden="false" customHeight="false" outlineLevel="0" collapsed="false">
      <c r="A107" s="10" t="s">
        <v>234</v>
      </c>
      <c r="B107" s="10" t="s">
        <v>235</v>
      </c>
      <c r="C107" s="10" t="s">
        <v>91</v>
      </c>
      <c r="D107" s="10" t="s">
        <v>95</v>
      </c>
      <c r="E107" s="10" t="s">
        <v>533</v>
      </c>
      <c r="F107" s="10" t="s">
        <v>573</v>
      </c>
      <c r="G107" s="14" t="n">
        <v>2</v>
      </c>
      <c r="H107" s="22" t="n">
        <f aca="false">INDEX(Products!$J$5:$J$93,MATCH(A107,Products!$A$5:$A$93,0))</f>
        <v>40600</v>
      </c>
      <c r="I107" s="12" t="n">
        <f aca="false">G107*H107</f>
        <v>81200</v>
      </c>
    </row>
    <row r="108" customFormat="false" ht="15" hidden="false" customHeight="false" outlineLevel="0" collapsed="false">
      <c r="A108" s="10" t="s">
        <v>234</v>
      </c>
      <c r="B108" s="10" t="s">
        <v>235</v>
      </c>
      <c r="C108" s="10" t="s">
        <v>91</v>
      </c>
      <c r="D108" s="10" t="s">
        <v>95</v>
      </c>
      <c r="E108" s="10" t="s">
        <v>536</v>
      </c>
      <c r="F108" s="10" t="s">
        <v>577</v>
      </c>
      <c r="G108" s="14" t="n">
        <v>2</v>
      </c>
      <c r="H108" s="22" t="n">
        <f aca="false">INDEX(Products!$J$5:$J$93,MATCH(A108,Products!$A$5:$A$93,0))</f>
        <v>40600</v>
      </c>
      <c r="I108" s="12" t="n">
        <f aca="false">G108*H108</f>
        <v>81200</v>
      </c>
    </row>
    <row r="109" customFormat="false" ht="15" hidden="false" customHeight="false" outlineLevel="0" collapsed="false">
      <c r="A109" s="10" t="s">
        <v>237</v>
      </c>
      <c r="B109" s="10" t="s">
        <v>238</v>
      </c>
      <c r="C109" s="10" t="s">
        <v>91</v>
      </c>
      <c r="D109" s="10" t="s">
        <v>95</v>
      </c>
      <c r="E109" s="10" t="s">
        <v>517</v>
      </c>
      <c r="F109" s="10" t="s">
        <v>561</v>
      </c>
      <c r="G109" s="14" t="n">
        <v>2</v>
      </c>
      <c r="H109" s="22" t="n">
        <f aca="false">INDEX(Products!$J$5:$J$93,MATCH(A109,Products!$A$5:$A$93,0))</f>
        <v>1600</v>
      </c>
      <c r="I109" s="12" t="n">
        <f aca="false">G109*H109</f>
        <v>3200</v>
      </c>
    </row>
    <row r="110" customFormat="false" ht="15" hidden="false" customHeight="false" outlineLevel="0" collapsed="false">
      <c r="A110" s="10" t="s">
        <v>237</v>
      </c>
      <c r="B110" s="10" t="s">
        <v>238</v>
      </c>
      <c r="C110" s="10" t="s">
        <v>91</v>
      </c>
      <c r="D110" s="10" t="s">
        <v>95</v>
      </c>
      <c r="E110" s="10" t="s">
        <v>517</v>
      </c>
      <c r="F110" s="10" t="s">
        <v>555</v>
      </c>
      <c r="G110" s="14" t="n">
        <v>26</v>
      </c>
      <c r="H110" s="22" t="n">
        <f aca="false">INDEX(Products!$J$5:$J$93,MATCH(A110,Products!$A$5:$A$93,0))</f>
        <v>1600</v>
      </c>
      <c r="I110" s="12" t="n">
        <f aca="false">G110*H110</f>
        <v>41600</v>
      </c>
    </row>
    <row r="111" customFormat="false" ht="15" hidden="false" customHeight="false" outlineLevel="0" collapsed="false">
      <c r="A111" s="10" t="s">
        <v>237</v>
      </c>
      <c r="B111" s="10" t="s">
        <v>238</v>
      </c>
      <c r="C111" s="10" t="s">
        <v>91</v>
      </c>
      <c r="D111" s="10" t="s">
        <v>95</v>
      </c>
      <c r="E111" s="10" t="s">
        <v>524</v>
      </c>
      <c r="F111" s="10" t="s">
        <v>566</v>
      </c>
      <c r="G111" s="14" t="n">
        <v>16</v>
      </c>
      <c r="H111" s="22" t="n">
        <f aca="false">INDEX(Products!$J$5:$J$93,MATCH(A111,Products!$A$5:$A$93,0))</f>
        <v>1600</v>
      </c>
      <c r="I111" s="12" t="n">
        <f aca="false">G111*H111</f>
        <v>25600</v>
      </c>
    </row>
    <row r="112" customFormat="false" ht="15" hidden="false" customHeight="false" outlineLevel="0" collapsed="false">
      <c r="A112" s="10" t="s">
        <v>237</v>
      </c>
      <c r="B112" s="10" t="s">
        <v>238</v>
      </c>
      <c r="C112" s="10" t="s">
        <v>91</v>
      </c>
      <c r="D112" s="10" t="s">
        <v>95</v>
      </c>
      <c r="E112" s="10" t="s">
        <v>530</v>
      </c>
      <c r="F112" s="10" t="s">
        <v>570</v>
      </c>
      <c r="G112" s="14" t="n">
        <v>14</v>
      </c>
      <c r="H112" s="22" t="n">
        <f aca="false">INDEX(Products!$J$5:$J$93,MATCH(A112,Products!$A$5:$A$93,0))</f>
        <v>1600</v>
      </c>
      <c r="I112" s="12" t="n">
        <f aca="false">G112*H112</f>
        <v>22400</v>
      </c>
    </row>
    <row r="113" customFormat="false" ht="15" hidden="false" customHeight="false" outlineLevel="0" collapsed="false">
      <c r="A113" s="10" t="s">
        <v>237</v>
      </c>
      <c r="B113" s="10" t="s">
        <v>238</v>
      </c>
      <c r="C113" s="10" t="s">
        <v>91</v>
      </c>
      <c r="D113" s="10" t="s">
        <v>95</v>
      </c>
      <c r="E113" s="10" t="s">
        <v>533</v>
      </c>
      <c r="F113" s="10" t="s">
        <v>574</v>
      </c>
      <c r="G113" s="14" t="n">
        <v>10</v>
      </c>
      <c r="H113" s="22" t="n">
        <f aca="false">INDEX(Products!$J$5:$J$93,MATCH(A113,Products!$A$5:$A$93,0))</f>
        <v>1600</v>
      </c>
      <c r="I113" s="12" t="n">
        <f aca="false">G113*H113</f>
        <v>16000</v>
      </c>
    </row>
    <row r="114" customFormat="false" ht="15" hidden="false" customHeight="false" outlineLevel="0" collapsed="false">
      <c r="A114" s="10" t="s">
        <v>237</v>
      </c>
      <c r="B114" s="10" t="s">
        <v>238</v>
      </c>
      <c r="C114" s="10" t="s">
        <v>91</v>
      </c>
      <c r="D114" s="10" t="s">
        <v>95</v>
      </c>
      <c r="E114" s="10" t="s">
        <v>536</v>
      </c>
      <c r="F114" s="10" t="s">
        <v>578</v>
      </c>
      <c r="G114" s="14" t="n">
        <v>12</v>
      </c>
      <c r="H114" s="22" t="n">
        <f aca="false">INDEX(Products!$J$5:$J$93,MATCH(A114,Products!$A$5:$A$93,0))</f>
        <v>1600</v>
      </c>
      <c r="I114" s="12" t="n">
        <f aca="false">G114*H114</f>
        <v>19200</v>
      </c>
    </row>
    <row r="115" customFormat="false" ht="15" hidden="false" customHeight="false" outlineLevel="0" collapsed="false">
      <c r="A115" s="10" t="s">
        <v>240</v>
      </c>
      <c r="B115" s="10" t="s">
        <v>241</v>
      </c>
      <c r="C115" s="10" t="s">
        <v>91</v>
      </c>
      <c r="D115" s="10" t="s">
        <v>95</v>
      </c>
      <c r="E115" s="10" t="s">
        <v>517</v>
      </c>
      <c r="F115" s="10" t="s">
        <v>561</v>
      </c>
      <c r="G115" s="14" t="n">
        <v>2</v>
      </c>
      <c r="H115" s="22" t="n">
        <f aca="false">INDEX(Products!$J$5:$J$93,MATCH(A115,Products!$A$5:$A$93,0))</f>
        <v>1350</v>
      </c>
      <c r="I115" s="12" t="n">
        <f aca="false">G115*H115</f>
        <v>2700</v>
      </c>
    </row>
    <row r="116" customFormat="false" ht="15" hidden="false" customHeight="false" outlineLevel="0" collapsed="false">
      <c r="A116" s="10" t="s">
        <v>240</v>
      </c>
      <c r="B116" s="10" t="s">
        <v>241</v>
      </c>
      <c r="C116" s="10" t="s">
        <v>91</v>
      </c>
      <c r="D116" s="10" t="s">
        <v>95</v>
      </c>
      <c r="E116" s="10" t="s">
        <v>517</v>
      </c>
      <c r="F116" s="10" t="s">
        <v>555</v>
      </c>
      <c r="G116" s="14" t="n">
        <v>33</v>
      </c>
      <c r="H116" s="22" t="n">
        <f aca="false">INDEX(Products!$J$5:$J$93,MATCH(A116,Products!$A$5:$A$93,0))</f>
        <v>1350</v>
      </c>
      <c r="I116" s="12" t="n">
        <f aca="false">G116*H116</f>
        <v>44550</v>
      </c>
    </row>
    <row r="117" customFormat="false" ht="15" hidden="false" customHeight="false" outlineLevel="0" collapsed="false">
      <c r="A117" s="10" t="s">
        <v>240</v>
      </c>
      <c r="B117" s="10" t="s">
        <v>241</v>
      </c>
      <c r="C117" s="10" t="s">
        <v>91</v>
      </c>
      <c r="D117" s="10" t="s">
        <v>95</v>
      </c>
      <c r="E117" s="10" t="s">
        <v>524</v>
      </c>
      <c r="F117" s="10" t="s">
        <v>566</v>
      </c>
      <c r="G117" s="14" t="n">
        <v>20</v>
      </c>
      <c r="H117" s="22" t="n">
        <f aca="false">INDEX(Products!$J$5:$J$93,MATCH(A117,Products!$A$5:$A$93,0))</f>
        <v>1350</v>
      </c>
      <c r="I117" s="12" t="n">
        <f aca="false">G117*H117</f>
        <v>27000</v>
      </c>
    </row>
    <row r="118" customFormat="false" ht="15" hidden="false" customHeight="false" outlineLevel="0" collapsed="false">
      <c r="A118" s="10" t="s">
        <v>240</v>
      </c>
      <c r="B118" s="10" t="s">
        <v>241</v>
      </c>
      <c r="C118" s="10" t="s">
        <v>91</v>
      </c>
      <c r="D118" s="10" t="s">
        <v>95</v>
      </c>
      <c r="E118" s="10" t="s">
        <v>530</v>
      </c>
      <c r="F118" s="10" t="s">
        <v>570</v>
      </c>
      <c r="G118" s="14" t="n">
        <v>18</v>
      </c>
      <c r="H118" s="22" t="n">
        <f aca="false">INDEX(Products!$J$5:$J$93,MATCH(A118,Products!$A$5:$A$93,0))</f>
        <v>1350</v>
      </c>
      <c r="I118" s="12" t="n">
        <f aca="false">G118*H118</f>
        <v>24300</v>
      </c>
    </row>
    <row r="119" customFormat="false" ht="15" hidden="false" customHeight="false" outlineLevel="0" collapsed="false">
      <c r="A119" s="10" t="s">
        <v>240</v>
      </c>
      <c r="B119" s="10" t="s">
        <v>241</v>
      </c>
      <c r="C119" s="10" t="s">
        <v>91</v>
      </c>
      <c r="D119" s="10" t="s">
        <v>95</v>
      </c>
      <c r="E119" s="10" t="s">
        <v>533</v>
      </c>
      <c r="F119" s="10" t="s">
        <v>574</v>
      </c>
      <c r="G119" s="14" t="n">
        <v>12</v>
      </c>
      <c r="H119" s="22" t="n">
        <f aca="false">INDEX(Products!$J$5:$J$93,MATCH(A119,Products!$A$5:$A$93,0))</f>
        <v>1350</v>
      </c>
      <c r="I119" s="12" t="n">
        <f aca="false">G119*H119</f>
        <v>16200</v>
      </c>
    </row>
    <row r="120" customFormat="false" ht="15" hidden="false" customHeight="false" outlineLevel="0" collapsed="false">
      <c r="A120" s="10" t="s">
        <v>240</v>
      </c>
      <c r="B120" s="10" t="s">
        <v>241</v>
      </c>
      <c r="C120" s="10" t="s">
        <v>91</v>
      </c>
      <c r="D120" s="10" t="s">
        <v>95</v>
      </c>
      <c r="E120" s="10" t="s">
        <v>536</v>
      </c>
      <c r="F120" s="10" t="s">
        <v>578</v>
      </c>
      <c r="G120" s="14" t="n">
        <v>15</v>
      </c>
      <c r="H120" s="22" t="n">
        <f aca="false">INDEX(Products!$J$5:$J$93,MATCH(A120,Products!$A$5:$A$93,0))</f>
        <v>1350</v>
      </c>
      <c r="I120" s="12" t="n">
        <f aca="false">G120*H120</f>
        <v>20250</v>
      </c>
    </row>
    <row r="121" customFormat="false" ht="15" hidden="false" customHeight="false" outlineLevel="0" collapsed="false">
      <c r="A121" s="10" t="s">
        <v>243</v>
      </c>
      <c r="B121" s="10" t="s">
        <v>244</v>
      </c>
      <c r="C121" s="10" t="s">
        <v>102</v>
      </c>
      <c r="D121" s="10" t="s">
        <v>103</v>
      </c>
      <c r="E121" s="10" t="s">
        <v>517</v>
      </c>
      <c r="F121" s="10" t="s">
        <v>552</v>
      </c>
      <c r="G121" s="14" t="n">
        <v>8</v>
      </c>
      <c r="H121" s="22" t="n">
        <f aca="false">INDEX(Products!$J$5:$J$93,MATCH(A121,Products!$A$5:$A$93,0))</f>
        <v>14800</v>
      </c>
      <c r="I121" s="12" t="n">
        <f aca="false">G121*H121</f>
        <v>118400</v>
      </c>
    </row>
    <row r="122" customFormat="false" ht="15" hidden="false" customHeight="false" outlineLevel="0" collapsed="false">
      <c r="A122" s="10" t="s">
        <v>243</v>
      </c>
      <c r="B122" s="10" t="s">
        <v>244</v>
      </c>
      <c r="C122" s="10" t="s">
        <v>102</v>
      </c>
      <c r="D122" s="10" t="s">
        <v>103</v>
      </c>
      <c r="E122" s="10" t="s">
        <v>524</v>
      </c>
      <c r="F122" s="10" t="s">
        <v>565</v>
      </c>
      <c r="G122" s="14" t="n">
        <v>4</v>
      </c>
      <c r="H122" s="22" t="n">
        <f aca="false">INDEX(Products!$J$5:$J$93,MATCH(A122,Products!$A$5:$A$93,0))</f>
        <v>14800</v>
      </c>
      <c r="I122" s="12" t="n">
        <f aca="false">G122*H122</f>
        <v>59200</v>
      </c>
    </row>
    <row r="123" customFormat="false" ht="15" hidden="false" customHeight="false" outlineLevel="0" collapsed="false">
      <c r="A123" s="10" t="s">
        <v>243</v>
      </c>
      <c r="B123" s="10" t="s">
        <v>244</v>
      </c>
      <c r="C123" s="10" t="s">
        <v>102</v>
      </c>
      <c r="D123" s="10" t="s">
        <v>103</v>
      </c>
      <c r="E123" s="10" t="s">
        <v>530</v>
      </c>
      <c r="F123" s="10" t="s">
        <v>569</v>
      </c>
      <c r="G123" s="14" t="n">
        <v>4</v>
      </c>
      <c r="H123" s="22" t="n">
        <f aca="false">INDEX(Products!$J$5:$J$93,MATCH(A123,Products!$A$5:$A$93,0))</f>
        <v>14800</v>
      </c>
      <c r="I123" s="12" t="n">
        <f aca="false">G123*H123</f>
        <v>59200</v>
      </c>
    </row>
    <row r="124" customFormat="false" ht="15" hidden="false" customHeight="false" outlineLevel="0" collapsed="false">
      <c r="A124" s="10" t="s">
        <v>243</v>
      </c>
      <c r="B124" s="10" t="s">
        <v>244</v>
      </c>
      <c r="C124" s="10" t="s">
        <v>102</v>
      </c>
      <c r="D124" s="10" t="s">
        <v>103</v>
      </c>
      <c r="E124" s="10" t="s">
        <v>533</v>
      </c>
      <c r="F124" s="10" t="s">
        <v>573</v>
      </c>
      <c r="G124" s="14" t="n">
        <v>3</v>
      </c>
      <c r="H124" s="22" t="n">
        <f aca="false">INDEX(Products!$J$5:$J$93,MATCH(A124,Products!$A$5:$A$93,0))</f>
        <v>14800</v>
      </c>
      <c r="I124" s="12" t="n">
        <f aca="false">G124*H124</f>
        <v>44400</v>
      </c>
    </row>
    <row r="125" customFormat="false" ht="15" hidden="false" customHeight="false" outlineLevel="0" collapsed="false">
      <c r="A125" s="10" t="s">
        <v>243</v>
      </c>
      <c r="B125" s="10" t="s">
        <v>244</v>
      </c>
      <c r="C125" s="10" t="s">
        <v>102</v>
      </c>
      <c r="D125" s="10" t="s">
        <v>103</v>
      </c>
      <c r="E125" s="10" t="s">
        <v>536</v>
      </c>
      <c r="F125" s="10" t="s">
        <v>577</v>
      </c>
      <c r="G125" s="14" t="n">
        <v>3</v>
      </c>
      <c r="H125" s="22" t="n">
        <f aca="false">INDEX(Products!$J$5:$J$93,MATCH(A125,Products!$A$5:$A$93,0))</f>
        <v>14800</v>
      </c>
      <c r="I125" s="12" t="n">
        <f aca="false">G125*H125</f>
        <v>44400</v>
      </c>
    </row>
    <row r="126" customFormat="false" ht="15" hidden="false" customHeight="false" outlineLevel="0" collapsed="false">
      <c r="A126" s="10" t="s">
        <v>246</v>
      </c>
      <c r="B126" s="10" t="s">
        <v>247</v>
      </c>
      <c r="C126" s="10" t="s">
        <v>102</v>
      </c>
      <c r="D126" s="10" t="s">
        <v>103</v>
      </c>
      <c r="E126" s="10" t="s">
        <v>517</v>
      </c>
      <c r="F126" s="10" t="s">
        <v>552</v>
      </c>
      <c r="G126" s="14" t="n">
        <v>4</v>
      </c>
      <c r="H126" s="22" t="n">
        <f aca="false">INDEX(Products!$J$5:$J$93,MATCH(A126,Products!$A$5:$A$93,0))</f>
        <v>28800</v>
      </c>
      <c r="I126" s="12" t="n">
        <f aca="false">G126*H126</f>
        <v>115200</v>
      </c>
    </row>
    <row r="127" customFormat="false" ht="15" hidden="false" customHeight="false" outlineLevel="0" collapsed="false">
      <c r="A127" s="10" t="s">
        <v>246</v>
      </c>
      <c r="B127" s="10" t="s">
        <v>247</v>
      </c>
      <c r="C127" s="10" t="s">
        <v>102</v>
      </c>
      <c r="D127" s="10" t="s">
        <v>103</v>
      </c>
      <c r="E127" s="10" t="s">
        <v>524</v>
      </c>
      <c r="F127" s="10" t="s">
        <v>565</v>
      </c>
      <c r="G127" s="14" t="n">
        <v>2</v>
      </c>
      <c r="H127" s="22" t="n">
        <f aca="false">INDEX(Products!$J$5:$J$93,MATCH(A127,Products!$A$5:$A$93,0))</f>
        <v>28800</v>
      </c>
      <c r="I127" s="12" t="n">
        <f aca="false">G127*H127</f>
        <v>57600</v>
      </c>
    </row>
    <row r="128" customFormat="false" ht="15" hidden="false" customHeight="false" outlineLevel="0" collapsed="false">
      <c r="A128" s="10" t="s">
        <v>246</v>
      </c>
      <c r="B128" s="10" t="s">
        <v>247</v>
      </c>
      <c r="C128" s="10" t="s">
        <v>102</v>
      </c>
      <c r="D128" s="10" t="s">
        <v>103</v>
      </c>
      <c r="E128" s="10" t="s">
        <v>530</v>
      </c>
      <c r="F128" s="10" t="s">
        <v>569</v>
      </c>
      <c r="G128" s="14" t="n">
        <v>2</v>
      </c>
      <c r="H128" s="22" t="n">
        <f aca="false">INDEX(Products!$J$5:$J$93,MATCH(A128,Products!$A$5:$A$93,0))</f>
        <v>28800</v>
      </c>
      <c r="I128" s="12" t="n">
        <f aca="false">G128*H128</f>
        <v>57600</v>
      </c>
    </row>
    <row r="129" customFormat="false" ht="15" hidden="false" customHeight="false" outlineLevel="0" collapsed="false">
      <c r="A129" s="10" t="s">
        <v>246</v>
      </c>
      <c r="B129" s="10" t="s">
        <v>247</v>
      </c>
      <c r="C129" s="10" t="s">
        <v>102</v>
      </c>
      <c r="D129" s="10" t="s">
        <v>103</v>
      </c>
      <c r="E129" s="10" t="s">
        <v>533</v>
      </c>
      <c r="F129" s="10" t="s">
        <v>573</v>
      </c>
      <c r="G129" s="14" t="n">
        <v>1</v>
      </c>
      <c r="H129" s="22" t="n">
        <f aca="false">INDEX(Products!$J$5:$J$93,MATCH(A129,Products!$A$5:$A$93,0))</f>
        <v>28800</v>
      </c>
      <c r="I129" s="12" t="n">
        <f aca="false">G129*H129</f>
        <v>28800</v>
      </c>
    </row>
    <row r="130" customFormat="false" ht="15" hidden="false" customHeight="false" outlineLevel="0" collapsed="false">
      <c r="A130" s="10" t="s">
        <v>246</v>
      </c>
      <c r="B130" s="10" t="s">
        <v>247</v>
      </c>
      <c r="C130" s="10" t="s">
        <v>102</v>
      </c>
      <c r="D130" s="10" t="s">
        <v>103</v>
      </c>
      <c r="E130" s="10" t="s">
        <v>536</v>
      </c>
      <c r="F130" s="10" t="s">
        <v>577</v>
      </c>
      <c r="G130" s="14" t="n">
        <v>1</v>
      </c>
      <c r="H130" s="22" t="n">
        <f aca="false">INDEX(Products!$J$5:$J$93,MATCH(A130,Products!$A$5:$A$93,0))</f>
        <v>28800</v>
      </c>
      <c r="I130" s="12" t="n">
        <f aca="false">G130*H130</f>
        <v>28800</v>
      </c>
    </row>
    <row r="131" customFormat="false" ht="15" hidden="false" customHeight="false" outlineLevel="0" collapsed="false">
      <c r="A131" s="10" t="s">
        <v>249</v>
      </c>
      <c r="B131" s="10" t="s">
        <v>250</v>
      </c>
      <c r="C131" s="10" t="s">
        <v>102</v>
      </c>
      <c r="D131" s="10" t="s">
        <v>103</v>
      </c>
      <c r="E131" s="10" t="s">
        <v>517</v>
      </c>
      <c r="F131" s="10" t="s">
        <v>552</v>
      </c>
      <c r="G131" s="14" t="n">
        <v>9</v>
      </c>
      <c r="H131" s="22" t="n">
        <f aca="false">INDEX(Products!$J$5:$J$93,MATCH(A131,Products!$A$5:$A$93,0))</f>
        <v>13450</v>
      </c>
      <c r="I131" s="12" t="n">
        <f aca="false">G131*H131</f>
        <v>121050</v>
      </c>
    </row>
    <row r="132" customFormat="false" ht="15" hidden="false" customHeight="false" outlineLevel="0" collapsed="false">
      <c r="A132" s="10" t="s">
        <v>249</v>
      </c>
      <c r="B132" s="10" t="s">
        <v>250</v>
      </c>
      <c r="C132" s="10" t="s">
        <v>102</v>
      </c>
      <c r="D132" s="10" t="s">
        <v>103</v>
      </c>
      <c r="E132" s="10" t="s">
        <v>524</v>
      </c>
      <c r="F132" s="10" t="s">
        <v>565</v>
      </c>
      <c r="G132" s="14" t="n">
        <v>5</v>
      </c>
      <c r="H132" s="22" t="n">
        <f aca="false">INDEX(Products!$J$5:$J$93,MATCH(A132,Products!$A$5:$A$93,0))</f>
        <v>13450</v>
      </c>
      <c r="I132" s="12" t="n">
        <f aca="false">G132*H132</f>
        <v>67250</v>
      </c>
    </row>
    <row r="133" customFormat="false" ht="15" hidden="false" customHeight="false" outlineLevel="0" collapsed="false">
      <c r="A133" s="10" t="s">
        <v>249</v>
      </c>
      <c r="B133" s="10" t="s">
        <v>250</v>
      </c>
      <c r="C133" s="10" t="s">
        <v>102</v>
      </c>
      <c r="D133" s="10" t="s">
        <v>103</v>
      </c>
      <c r="E133" s="10" t="s">
        <v>530</v>
      </c>
      <c r="F133" s="10" t="s">
        <v>569</v>
      </c>
      <c r="G133" s="14" t="n">
        <v>4</v>
      </c>
      <c r="H133" s="22" t="n">
        <f aca="false">INDEX(Products!$J$5:$J$93,MATCH(A133,Products!$A$5:$A$93,0))</f>
        <v>13450</v>
      </c>
      <c r="I133" s="12" t="n">
        <f aca="false">G133*H133</f>
        <v>53800</v>
      </c>
    </row>
    <row r="134" customFormat="false" ht="15" hidden="false" customHeight="false" outlineLevel="0" collapsed="false">
      <c r="A134" s="10" t="s">
        <v>249</v>
      </c>
      <c r="B134" s="10" t="s">
        <v>250</v>
      </c>
      <c r="C134" s="10" t="s">
        <v>102</v>
      </c>
      <c r="D134" s="10" t="s">
        <v>103</v>
      </c>
      <c r="E134" s="10" t="s">
        <v>533</v>
      </c>
      <c r="F134" s="10" t="s">
        <v>573</v>
      </c>
      <c r="G134" s="14" t="n">
        <v>3</v>
      </c>
      <c r="H134" s="22" t="n">
        <f aca="false">INDEX(Products!$J$5:$J$93,MATCH(A134,Products!$A$5:$A$93,0))</f>
        <v>13450</v>
      </c>
      <c r="I134" s="12" t="n">
        <f aca="false">G134*H134</f>
        <v>40350</v>
      </c>
    </row>
    <row r="135" customFormat="false" ht="15" hidden="false" customHeight="false" outlineLevel="0" collapsed="false">
      <c r="A135" s="10" t="s">
        <v>249</v>
      </c>
      <c r="B135" s="10" t="s">
        <v>250</v>
      </c>
      <c r="C135" s="10" t="s">
        <v>102</v>
      </c>
      <c r="D135" s="10" t="s">
        <v>103</v>
      </c>
      <c r="E135" s="10" t="s">
        <v>536</v>
      </c>
      <c r="F135" s="10" t="s">
        <v>577</v>
      </c>
      <c r="G135" s="14" t="n">
        <v>4</v>
      </c>
      <c r="H135" s="22" t="n">
        <f aca="false">INDEX(Products!$J$5:$J$93,MATCH(A135,Products!$A$5:$A$93,0))</f>
        <v>13450</v>
      </c>
      <c r="I135" s="12" t="n">
        <f aca="false">G135*H135</f>
        <v>53800</v>
      </c>
    </row>
    <row r="136" customFormat="false" ht="15" hidden="false" customHeight="false" outlineLevel="0" collapsed="false">
      <c r="A136" s="10" t="s">
        <v>252</v>
      </c>
      <c r="B136" s="10" t="s">
        <v>253</v>
      </c>
      <c r="C136" s="10" t="s">
        <v>102</v>
      </c>
      <c r="D136" s="10" t="s">
        <v>103</v>
      </c>
      <c r="E136" s="10" t="s">
        <v>517</v>
      </c>
      <c r="F136" s="10" t="s">
        <v>552</v>
      </c>
      <c r="G136" s="14" t="n">
        <v>14</v>
      </c>
      <c r="H136" s="22" t="n">
        <f aca="false">INDEX(Products!$J$5:$J$93,MATCH(A136,Products!$A$5:$A$93,0))</f>
        <v>4880</v>
      </c>
      <c r="I136" s="12" t="n">
        <f aca="false">G136*H136</f>
        <v>68320</v>
      </c>
    </row>
    <row r="137" customFormat="false" ht="15" hidden="false" customHeight="false" outlineLevel="0" collapsed="false">
      <c r="A137" s="10" t="s">
        <v>252</v>
      </c>
      <c r="B137" s="10" t="s">
        <v>253</v>
      </c>
      <c r="C137" s="10" t="s">
        <v>102</v>
      </c>
      <c r="D137" s="10" t="s">
        <v>103</v>
      </c>
      <c r="E137" s="10" t="s">
        <v>524</v>
      </c>
      <c r="F137" s="10" t="s">
        <v>565</v>
      </c>
      <c r="G137" s="14" t="n">
        <v>8</v>
      </c>
      <c r="H137" s="22" t="n">
        <f aca="false">INDEX(Products!$J$5:$J$93,MATCH(A137,Products!$A$5:$A$93,0))</f>
        <v>4880</v>
      </c>
      <c r="I137" s="12" t="n">
        <f aca="false">G137*H137</f>
        <v>39040</v>
      </c>
    </row>
    <row r="138" customFormat="false" ht="15" hidden="false" customHeight="false" outlineLevel="0" collapsed="false">
      <c r="A138" s="10" t="s">
        <v>252</v>
      </c>
      <c r="B138" s="10" t="s">
        <v>253</v>
      </c>
      <c r="C138" s="10" t="s">
        <v>102</v>
      </c>
      <c r="D138" s="10" t="s">
        <v>103</v>
      </c>
      <c r="E138" s="10" t="s">
        <v>530</v>
      </c>
      <c r="F138" s="10" t="s">
        <v>569</v>
      </c>
      <c r="G138" s="14" t="n">
        <v>7</v>
      </c>
      <c r="H138" s="22" t="n">
        <f aca="false">INDEX(Products!$J$5:$J$93,MATCH(A138,Products!$A$5:$A$93,0))</f>
        <v>4880</v>
      </c>
      <c r="I138" s="12" t="n">
        <f aca="false">G138*H138</f>
        <v>34160</v>
      </c>
    </row>
    <row r="139" customFormat="false" ht="15" hidden="false" customHeight="false" outlineLevel="0" collapsed="false">
      <c r="A139" s="10" t="s">
        <v>252</v>
      </c>
      <c r="B139" s="10" t="s">
        <v>253</v>
      </c>
      <c r="C139" s="10" t="s">
        <v>102</v>
      </c>
      <c r="D139" s="10" t="s">
        <v>103</v>
      </c>
      <c r="E139" s="10" t="s">
        <v>533</v>
      </c>
      <c r="F139" s="10" t="s">
        <v>573</v>
      </c>
      <c r="G139" s="14" t="n">
        <v>5</v>
      </c>
      <c r="H139" s="22" t="n">
        <f aca="false">INDEX(Products!$J$5:$J$93,MATCH(A139,Products!$A$5:$A$93,0))</f>
        <v>4880</v>
      </c>
      <c r="I139" s="12" t="n">
        <f aca="false">G139*H139</f>
        <v>24400</v>
      </c>
    </row>
    <row r="140" customFormat="false" ht="15" hidden="false" customHeight="false" outlineLevel="0" collapsed="false">
      <c r="A140" s="10" t="s">
        <v>252</v>
      </c>
      <c r="B140" s="10" t="s">
        <v>253</v>
      </c>
      <c r="C140" s="10" t="s">
        <v>102</v>
      </c>
      <c r="D140" s="10" t="s">
        <v>103</v>
      </c>
      <c r="E140" s="10" t="s">
        <v>536</v>
      </c>
      <c r="F140" s="10" t="s">
        <v>577</v>
      </c>
      <c r="G140" s="14" t="n">
        <v>6</v>
      </c>
      <c r="H140" s="22" t="n">
        <f aca="false">INDEX(Products!$J$5:$J$93,MATCH(A140,Products!$A$5:$A$93,0))</f>
        <v>4880</v>
      </c>
      <c r="I140" s="12" t="n">
        <f aca="false">G140*H140</f>
        <v>29280</v>
      </c>
    </row>
    <row r="141" customFormat="false" ht="15" hidden="false" customHeight="false" outlineLevel="0" collapsed="false">
      <c r="A141" s="10" t="s">
        <v>255</v>
      </c>
      <c r="B141" s="10" t="s">
        <v>256</v>
      </c>
      <c r="C141" s="10" t="s">
        <v>102</v>
      </c>
      <c r="D141" s="10" t="s">
        <v>103</v>
      </c>
      <c r="E141" s="10" t="s">
        <v>517</v>
      </c>
      <c r="F141" s="10" t="s">
        <v>552</v>
      </c>
      <c r="G141" s="14" t="n">
        <v>12</v>
      </c>
      <c r="H141" s="22" t="n">
        <f aca="false">INDEX(Products!$J$5:$J$93,MATCH(A141,Products!$A$5:$A$93,0))</f>
        <v>7100</v>
      </c>
      <c r="I141" s="12" t="n">
        <f aca="false">G141*H141</f>
        <v>85200</v>
      </c>
    </row>
    <row r="142" customFormat="false" ht="15" hidden="false" customHeight="false" outlineLevel="0" collapsed="false">
      <c r="A142" s="10" t="s">
        <v>255</v>
      </c>
      <c r="B142" s="10" t="s">
        <v>256</v>
      </c>
      <c r="C142" s="10" t="s">
        <v>102</v>
      </c>
      <c r="D142" s="10" t="s">
        <v>103</v>
      </c>
      <c r="E142" s="10" t="s">
        <v>524</v>
      </c>
      <c r="F142" s="10" t="s">
        <v>565</v>
      </c>
      <c r="G142" s="14" t="n">
        <v>7</v>
      </c>
      <c r="H142" s="22" t="n">
        <f aca="false">INDEX(Products!$J$5:$J$93,MATCH(A142,Products!$A$5:$A$93,0))</f>
        <v>7100</v>
      </c>
      <c r="I142" s="12" t="n">
        <f aca="false">G142*H142</f>
        <v>49700</v>
      </c>
    </row>
    <row r="143" customFormat="false" ht="15" hidden="false" customHeight="false" outlineLevel="0" collapsed="false">
      <c r="A143" s="10" t="s">
        <v>255</v>
      </c>
      <c r="B143" s="10" t="s">
        <v>256</v>
      </c>
      <c r="C143" s="10" t="s">
        <v>102</v>
      </c>
      <c r="D143" s="10" t="s">
        <v>103</v>
      </c>
      <c r="E143" s="10" t="s">
        <v>530</v>
      </c>
      <c r="F143" s="10" t="s">
        <v>569</v>
      </c>
      <c r="G143" s="14" t="n">
        <v>7</v>
      </c>
      <c r="H143" s="22" t="n">
        <f aca="false">INDEX(Products!$J$5:$J$93,MATCH(A143,Products!$A$5:$A$93,0))</f>
        <v>7100</v>
      </c>
      <c r="I143" s="12" t="n">
        <f aca="false">G143*H143</f>
        <v>49700</v>
      </c>
    </row>
    <row r="144" customFormat="false" ht="15" hidden="false" customHeight="false" outlineLevel="0" collapsed="false">
      <c r="A144" s="10" t="s">
        <v>255</v>
      </c>
      <c r="B144" s="10" t="s">
        <v>256</v>
      </c>
      <c r="C144" s="10" t="s">
        <v>102</v>
      </c>
      <c r="D144" s="10" t="s">
        <v>103</v>
      </c>
      <c r="E144" s="10" t="s">
        <v>533</v>
      </c>
      <c r="F144" s="10" t="s">
        <v>573</v>
      </c>
      <c r="G144" s="14" t="n">
        <v>4</v>
      </c>
      <c r="H144" s="22" t="n">
        <f aca="false">INDEX(Products!$J$5:$J$93,MATCH(A144,Products!$A$5:$A$93,0))</f>
        <v>7100</v>
      </c>
      <c r="I144" s="12" t="n">
        <f aca="false">G144*H144</f>
        <v>28400</v>
      </c>
    </row>
    <row r="145" customFormat="false" ht="15" hidden="false" customHeight="false" outlineLevel="0" collapsed="false">
      <c r="A145" s="10" t="s">
        <v>255</v>
      </c>
      <c r="B145" s="10" t="s">
        <v>256</v>
      </c>
      <c r="C145" s="10" t="s">
        <v>102</v>
      </c>
      <c r="D145" s="10" t="s">
        <v>103</v>
      </c>
      <c r="E145" s="10" t="s">
        <v>536</v>
      </c>
      <c r="F145" s="10" t="s">
        <v>577</v>
      </c>
      <c r="G145" s="14" t="n">
        <v>5</v>
      </c>
      <c r="H145" s="22" t="n">
        <f aca="false">INDEX(Products!$J$5:$J$93,MATCH(A145,Products!$A$5:$A$93,0))</f>
        <v>7100</v>
      </c>
      <c r="I145" s="12" t="n">
        <f aca="false">G145*H145</f>
        <v>35500</v>
      </c>
    </row>
    <row r="146" customFormat="false" ht="15" hidden="false" customHeight="false" outlineLevel="0" collapsed="false">
      <c r="A146" s="10" t="s">
        <v>258</v>
      </c>
      <c r="B146" s="10" t="s">
        <v>259</v>
      </c>
      <c r="C146" s="10" t="s">
        <v>102</v>
      </c>
      <c r="D146" s="10" t="s">
        <v>103</v>
      </c>
      <c r="E146" s="10" t="s">
        <v>517</v>
      </c>
      <c r="F146" s="10" t="s">
        <v>555</v>
      </c>
      <c r="G146" s="14" t="n">
        <v>18</v>
      </c>
      <c r="H146" s="22" t="n">
        <f aca="false">INDEX(Products!$J$5:$J$93,MATCH(A146,Products!$A$5:$A$93,0))</f>
        <v>3040</v>
      </c>
      <c r="I146" s="12" t="n">
        <f aca="false">G146*H146</f>
        <v>54720</v>
      </c>
    </row>
    <row r="147" customFormat="false" ht="15" hidden="false" customHeight="false" outlineLevel="0" collapsed="false">
      <c r="A147" s="10" t="s">
        <v>258</v>
      </c>
      <c r="B147" s="10" t="s">
        <v>259</v>
      </c>
      <c r="C147" s="10" t="s">
        <v>102</v>
      </c>
      <c r="D147" s="10" t="s">
        <v>103</v>
      </c>
      <c r="E147" s="10" t="s">
        <v>524</v>
      </c>
      <c r="F147" s="10" t="s">
        <v>566</v>
      </c>
      <c r="G147" s="14" t="n">
        <v>10</v>
      </c>
      <c r="H147" s="22" t="n">
        <f aca="false">INDEX(Products!$J$5:$J$93,MATCH(A147,Products!$A$5:$A$93,0))</f>
        <v>3040</v>
      </c>
      <c r="I147" s="12" t="n">
        <f aca="false">G147*H147</f>
        <v>30400</v>
      </c>
    </row>
    <row r="148" customFormat="false" ht="15" hidden="false" customHeight="false" outlineLevel="0" collapsed="false">
      <c r="A148" s="10" t="s">
        <v>258</v>
      </c>
      <c r="B148" s="10" t="s">
        <v>259</v>
      </c>
      <c r="C148" s="10" t="s">
        <v>102</v>
      </c>
      <c r="D148" s="10" t="s">
        <v>103</v>
      </c>
      <c r="E148" s="10" t="s">
        <v>530</v>
      </c>
      <c r="F148" s="10" t="s">
        <v>570</v>
      </c>
      <c r="G148" s="14" t="n">
        <v>9</v>
      </c>
      <c r="H148" s="22" t="n">
        <f aca="false">INDEX(Products!$J$5:$J$93,MATCH(A148,Products!$A$5:$A$93,0))</f>
        <v>3040</v>
      </c>
      <c r="I148" s="12" t="n">
        <f aca="false">G148*H148</f>
        <v>27360</v>
      </c>
    </row>
    <row r="149" customFormat="false" ht="15" hidden="false" customHeight="false" outlineLevel="0" collapsed="false">
      <c r="A149" s="10" t="s">
        <v>258</v>
      </c>
      <c r="B149" s="10" t="s">
        <v>259</v>
      </c>
      <c r="C149" s="10" t="s">
        <v>102</v>
      </c>
      <c r="D149" s="10" t="s">
        <v>103</v>
      </c>
      <c r="E149" s="10" t="s">
        <v>533</v>
      </c>
      <c r="F149" s="10" t="s">
        <v>574</v>
      </c>
      <c r="G149" s="14" t="n">
        <v>6</v>
      </c>
      <c r="H149" s="22" t="n">
        <f aca="false">INDEX(Products!$J$5:$J$93,MATCH(A149,Products!$A$5:$A$93,0))</f>
        <v>3040</v>
      </c>
      <c r="I149" s="12" t="n">
        <f aca="false">G149*H149</f>
        <v>18240</v>
      </c>
    </row>
    <row r="150" customFormat="false" ht="15" hidden="false" customHeight="false" outlineLevel="0" collapsed="false">
      <c r="A150" s="10" t="s">
        <v>258</v>
      </c>
      <c r="B150" s="10" t="s">
        <v>259</v>
      </c>
      <c r="C150" s="10" t="s">
        <v>102</v>
      </c>
      <c r="D150" s="10" t="s">
        <v>103</v>
      </c>
      <c r="E150" s="10" t="s">
        <v>536</v>
      </c>
      <c r="F150" s="10" t="s">
        <v>578</v>
      </c>
      <c r="G150" s="14" t="n">
        <v>7</v>
      </c>
      <c r="H150" s="22" t="n">
        <f aca="false">INDEX(Products!$J$5:$J$93,MATCH(A150,Products!$A$5:$A$93,0))</f>
        <v>3040</v>
      </c>
      <c r="I150" s="12" t="n">
        <f aca="false">G150*H150</f>
        <v>21280</v>
      </c>
    </row>
    <row r="151" customFormat="false" ht="15" hidden="false" customHeight="false" outlineLevel="0" collapsed="false">
      <c r="A151" s="10" t="s">
        <v>261</v>
      </c>
      <c r="B151" s="10" t="s">
        <v>262</v>
      </c>
      <c r="C151" s="10" t="s">
        <v>110</v>
      </c>
      <c r="D151" s="10" t="s">
        <v>111</v>
      </c>
      <c r="E151" s="10" t="s">
        <v>517</v>
      </c>
      <c r="F151" s="10" t="s">
        <v>561</v>
      </c>
      <c r="G151" s="14" t="n">
        <v>2</v>
      </c>
      <c r="H151" s="22" t="n">
        <f aca="false">INDEX(Products!$J$5:$J$93,MATCH(A151,Products!$A$5:$A$93,0))</f>
        <v>18050</v>
      </c>
      <c r="I151" s="12" t="n">
        <f aca="false">G151*H151</f>
        <v>36100</v>
      </c>
    </row>
    <row r="152" customFormat="false" ht="15" hidden="false" customHeight="false" outlineLevel="0" collapsed="false">
      <c r="A152" s="10" t="s">
        <v>261</v>
      </c>
      <c r="B152" s="10" t="s">
        <v>262</v>
      </c>
      <c r="C152" s="10" t="s">
        <v>110</v>
      </c>
      <c r="D152" s="10" t="s">
        <v>111</v>
      </c>
      <c r="E152" s="10" t="s">
        <v>517</v>
      </c>
      <c r="F152" s="10" t="s">
        <v>555</v>
      </c>
      <c r="G152" s="14" t="n">
        <v>14</v>
      </c>
      <c r="H152" s="22" t="n">
        <f aca="false">INDEX(Products!$J$5:$J$93,MATCH(A152,Products!$A$5:$A$93,0))</f>
        <v>18050</v>
      </c>
      <c r="I152" s="12" t="n">
        <f aca="false">G152*H152</f>
        <v>252700</v>
      </c>
    </row>
    <row r="153" customFormat="false" ht="15" hidden="false" customHeight="false" outlineLevel="0" collapsed="false">
      <c r="A153" s="10" t="s">
        <v>261</v>
      </c>
      <c r="B153" s="10" t="s">
        <v>262</v>
      </c>
      <c r="C153" s="10" t="s">
        <v>110</v>
      </c>
      <c r="D153" s="10" t="s">
        <v>111</v>
      </c>
      <c r="E153" s="10" t="s">
        <v>524</v>
      </c>
      <c r="F153" s="10" t="s">
        <v>566</v>
      </c>
      <c r="G153" s="14" t="n">
        <v>9</v>
      </c>
      <c r="H153" s="22" t="n">
        <f aca="false">INDEX(Products!$J$5:$J$93,MATCH(A153,Products!$A$5:$A$93,0))</f>
        <v>18050</v>
      </c>
      <c r="I153" s="12" t="n">
        <f aca="false">G153*H153</f>
        <v>162450</v>
      </c>
    </row>
    <row r="154" customFormat="false" ht="15" hidden="false" customHeight="false" outlineLevel="0" collapsed="false">
      <c r="A154" s="10" t="s">
        <v>261</v>
      </c>
      <c r="B154" s="10" t="s">
        <v>262</v>
      </c>
      <c r="C154" s="10" t="s">
        <v>110</v>
      </c>
      <c r="D154" s="10" t="s">
        <v>111</v>
      </c>
      <c r="E154" s="10" t="s">
        <v>530</v>
      </c>
      <c r="F154" s="10" t="s">
        <v>570</v>
      </c>
      <c r="G154" s="14" t="n">
        <v>8</v>
      </c>
      <c r="H154" s="22" t="n">
        <f aca="false">INDEX(Products!$J$5:$J$93,MATCH(A154,Products!$A$5:$A$93,0))</f>
        <v>18050</v>
      </c>
      <c r="I154" s="12" t="n">
        <f aca="false">G154*H154</f>
        <v>144400</v>
      </c>
    </row>
    <row r="155" customFormat="false" ht="15" hidden="false" customHeight="false" outlineLevel="0" collapsed="false">
      <c r="A155" s="10" t="s">
        <v>261</v>
      </c>
      <c r="B155" s="10" t="s">
        <v>262</v>
      </c>
      <c r="C155" s="10" t="s">
        <v>110</v>
      </c>
      <c r="D155" s="10" t="s">
        <v>111</v>
      </c>
      <c r="E155" s="10" t="s">
        <v>533</v>
      </c>
      <c r="F155" s="10" t="s">
        <v>574</v>
      </c>
      <c r="G155" s="14" t="n">
        <v>5</v>
      </c>
      <c r="H155" s="22" t="n">
        <f aca="false">INDEX(Products!$J$5:$J$93,MATCH(A155,Products!$A$5:$A$93,0))</f>
        <v>18050</v>
      </c>
      <c r="I155" s="12" t="n">
        <f aca="false">G155*H155</f>
        <v>90250</v>
      </c>
    </row>
    <row r="156" customFormat="false" ht="15" hidden="false" customHeight="false" outlineLevel="0" collapsed="false">
      <c r="A156" s="10" t="s">
        <v>261</v>
      </c>
      <c r="B156" s="10" t="s">
        <v>262</v>
      </c>
      <c r="C156" s="10" t="s">
        <v>110</v>
      </c>
      <c r="D156" s="10" t="s">
        <v>111</v>
      </c>
      <c r="E156" s="10" t="s">
        <v>536</v>
      </c>
      <c r="F156" s="10" t="s">
        <v>578</v>
      </c>
      <c r="G156" s="14" t="n">
        <v>7</v>
      </c>
      <c r="H156" s="22" t="n">
        <f aca="false">INDEX(Products!$J$5:$J$93,MATCH(A156,Products!$A$5:$A$93,0))</f>
        <v>18050</v>
      </c>
      <c r="I156" s="12" t="n">
        <f aca="false">G156*H156</f>
        <v>126350</v>
      </c>
    </row>
    <row r="157" customFormat="false" ht="15" hidden="false" customHeight="false" outlineLevel="0" collapsed="false">
      <c r="A157" s="10" t="s">
        <v>264</v>
      </c>
      <c r="B157" s="10" t="s">
        <v>265</v>
      </c>
      <c r="C157" s="10" t="s">
        <v>110</v>
      </c>
      <c r="D157" s="10" t="s">
        <v>111</v>
      </c>
      <c r="E157" s="10" t="s">
        <v>517</v>
      </c>
      <c r="F157" s="10" t="s">
        <v>561</v>
      </c>
      <c r="G157" s="14" t="n">
        <v>2</v>
      </c>
      <c r="H157" s="22" t="n">
        <f aca="false">INDEX(Products!$J$5:$J$93,MATCH(A157,Products!$A$5:$A$93,0))</f>
        <v>16150</v>
      </c>
      <c r="I157" s="12" t="n">
        <f aca="false">G157*H157</f>
        <v>32300</v>
      </c>
    </row>
    <row r="158" customFormat="false" ht="15" hidden="false" customHeight="false" outlineLevel="0" collapsed="false">
      <c r="A158" s="10" t="s">
        <v>264</v>
      </c>
      <c r="B158" s="10" t="s">
        <v>265</v>
      </c>
      <c r="C158" s="10" t="s">
        <v>110</v>
      </c>
      <c r="D158" s="10" t="s">
        <v>111</v>
      </c>
      <c r="E158" s="10" t="s">
        <v>517</v>
      </c>
      <c r="F158" s="10" t="s">
        <v>555</v>
      </c>
      <c r="G158" s="14" t="n">
        <v>11</v>
      </c>
      <c r="H158" s="22" t="n">
        <f aca="false">INDEX(Products!$J$5:$J$93,MATCH(A158,Products!$A$5:$A$93,0))</f>
        <v>16150</v>
      </c>
      <c r="I158" s="12" t="n">
        <f aca="false">G158*H158</f>
        <v>177650</v>
      </c>
    </row>
    <row r="159" customFormat="false" ht="15" hidden="false" customHeight="false" outlineLevel="0" collapsed="false">
      <c r="A159" s="10" t="s">
        <v>264</v>
      </c>
      <c r="B159" s="10" t="s">
        <v>265</v>
      </c>
      <c r="C159" s="10" t="s">
        <v>110</v>
      </c>
      <c r="D159" s="10" t="s">
        <v>111</v>
      </c>
      <c r="E159" s="10" t="s">
        <v>524</v>
      </c>
      <c r="F159" s="10" t="s">
        <v>566</v>
      </c>
      <c r="G159" s="14" t="n">
        <v>8</v>
      </c>
      <c r="H159" s="22" t="n">
        <f aca="false">INDEX(Products!$J$5:$J$93,MATCH(A159,Products!$A$5:$A$93,0))</f>
        <v>16150</v>
      </c>
      <c r="I159" s="12" t="n">
        <f aca="false">G159*H159</f>
        <v>129200</v>
      </c>
    </row>
    <row r="160" customFormat="false" ht="15" hidden="false" customHeight="false" outlineLevel="0" collapsed="false">
      <c r="A160" s="10" t="s">
        <v>264</v>
      </c>
      <c r="B160" s="10" t="s">
        <v>265</v>
      </c>
      <c r="C160" s="10" t="s">
        <v>110</v>
      </c>
      <c r="D160" s="10" t="s">
        <v>111</v>
      </c>
      <c r="E160" s="10" t="s">
        <v>530</v>
      </c>
      <c r="F160" s="10" t="s">
        <v>570</v>
      </c>
      <c r="G160" s="14" t="n">
        <v>7</v>
      </c>
      <c r="H160" s="22" t="n">
        <f aca="false">INDEX(Products!$J$5:$J$93,MATCH(A160,Products!$A$5:$A$93,0))</f>
        <v>16150</v>
      </c>
      <c r="I160" s="12" t="n">
        <f aca="false">G160*H160</f>
        <v>113050</v>
      </c>
    </row>
    <row r="161" customFormat="false" ht="15" hidden="false" customHeight="false" outlineLevel="0" collapsed="false">
      <c r="A161" s="10" t="s">
        <v>264</v>
      </c>
      <c r="B161" s="10" t="s">
        <v>265</v>
      </c>
      <c r="C161" s="10" t="s">
        <v>110</v>
      </c>
      <c r="D161" s="10" t="s">
        <v>111</v>
      </c>
      <c r="E161" s="10" t="s">
        <v>533</v>
      </c>
      <c r="F161" s="10" t="s">
        <v>574</v>
      </c>
      <c r="G161" s="14" t="n">
        <v>4</v>
      </c>
      <c r="H161" s="22" t="n">
        <f aca="false">INDEX(Products!$J$5:$J$93,MATCH(A161,Products!$A$5:$A$93,0))</f>
        <v>16150</v>
      </c>
      <c r="I161" s="12" t="n">
        <f aca="false">G161*H161</f>
        <v>64600</v>
      </c>
    </row>
    <row r="162" customFormat="false" ht="15" hidden="false" customHeight="false" outlineLevel="0" collapsed="false">
      <c r="A162" s="10" t="s">
        <v>264</v>
      </c>
      <c r="B162" s="10" t="s">
        <v>265</v>
      </c>
      <c r="C162" s="10" t="s">
        <v>110</v>
      </c>
      <c r="D162" s="10" t="s">
        <v>111</v>
      </c>
      <c r="E162" s="10" t="s">
        <v>536</v>
      </c>
      <c r="F162" s="10" t="s">
        <v>578</v>
      </c>
      <c r="G162" s="14" t="n">
        <v>6</v>
      </c>
      <c r="H162" s="22" t="n">
        <f aca="false">INDEX(Products!$J$5:$J$93,MATCH(A162,Products!$A$5:$A$93,0))</f>
        <v>16150</v>
      </c>
      <c r="I162" s="12" t="n">
        <f aca="false">G162*H162</f>
        <v>96900</v>
      </c>
    </row>
    <row r="163" customFormat="false" ht="15" hidden="false" customHeight="false" outlineLevel="0" collapsed="false">
      <c r="A163" s="10" t="s">
        <v>267</v>
      </c>
      <c r="B163" s="10" t="s">
        <v>268</v>
      </c>
      <c r="C163" s="10" t="s">
        <v>110</v>
      </c>
      <c r="D163" s="10" t="s">
        <v>111</v>
      </c>
      <c r="E163" s="10" t="s">
        <v>517</v>
      </c>
      <c r="F163" s="10" t="s">
        <v>561</v>
      </c>
      <c r="G163" s="14" t="n">
        <v>2</v>
      </c>
      <c r="H163" s="22" t="n">
        <f aca="false">INDEX(Products!$J$5:$J$93,MATCH(A163,Products!$A$5:$A$93,0))</f>
        <v>11350</v>
      </c>
      <c r="I163" s="12" t="n">
        <f aca="false">G163*H163</f>
        <v>22700</v>
      </c>
    </row>
    <row r="164" customFormat="false" ht="15" hidden="false" customHeight="false" outlineLevel="0" collapsed="false">
      <c r="A164" s="10" t="s">
        <v>267</v>
      </c>
      <c r="B164" s="10" t="s">
        <v>268</v>
      </c>
      <c r="C164" s="10" t="s">
        <v>110</v>
      </c>
      <c r="D164" s="10" t="s">
        <v>111</v>
      </c>
      <c r="E164" s="10" t="s">
        <v>517</v>
      </c>
      <c r="F164" s="10" t="s">
        <v>555</v>
      </c>
      <c r="G164" s="14" t="n">
        <v>19</v>
      </c>
      <c r="H164" s="22" t="n">
        <f aca="false">INDEX(Products!$J$5:$J$93,MATCH(A164,Products!$A$5:$A$93,0))</f>
        <v>11350</v>
      </c>
      <c r="I164" s="12" t="n">
        <f aca="false">G164*H164</f>
        <v>215650</v>
      </c>
    </row>
    <row r="165" customFormat="false" ht="15" hidden="false" customHeight="false" outlineLevel="0" collapsed="false">
      <c r="A165" s="10" t="s">
        <v>267</v>
      </c>
      <c r="B165" s="10" t="s">
        <v>268</v>
      </c>
      <c r="C165" s="10" t="s">
        <v>110</v>
      </c>
      <c r="D165" s="10" t="s">
        <v>111</v>
      </c>
      <c r="E165" s="10" t="s">
        <v>524</v>
      </c>
      <c r="F165" s="10" t="s">
        <v>566</v>
      </c>
      <c r="G165" s="14" t="n">
        <v>12</v>
      </c>
      <c r="H165" s="22" t="n">
        <f aca="false">INDEX(Products!$J$5:$J$93,MATCH(A165,Products!$A$5:$A$93,0))</f>
        <v>11350</v>
      </c>
      <c r="I165" s="12" t="n">
        <f aca="false">G165*H165</f>
        <v>136200</v>
      </c>
    </row>
    <row r="166" customFormat="false" ht="15" hidden="false" customHeight="false" outlineLevel="0" collapsed="false">
      <c r="A166" s="10" t="s">
        <v>267</v>
      </c>
      <c r="B166" s="10" t="s">
        <v>268</v>
      </c>
      <c r="C166" s="10" t="s">
        <v>110</v>
      </c>
      <c r="D166" s="10" t="s">
        <v>111</v>
      </c>
      <c r="E166" s="10" t="s">
        <v>530</v>
      </c>
      <c r="F166" s="10" t="s">
        <v>570</v>
      </c>
      <c r="G166" s="14" t="n">
        <v>11</v>
      </c>
      <c r="H166" s="22" t="n">
        <f aca="false">INDEX(Products!$J$5:$J$93,MATCH(A166,Products!$A$5:$A$93,0))</f>
        <v>11350</v>
      </c>
      <c r="I166" s="12" t="n">
        <f aca="false">G166*H166</f>
        <v>124850</v>
      </c>
    </row>
    <row r="167" customFormat="false" ht="15" hidden="false" customHeight="false" outlineLevel="0" collapsed="false">
      <c r="A167" s="10" t="s">
        <v>267</v>
      </c>
      <c r="B167" s="10" t="s">
        <v>268</v>
      </c>
      <c r="C167" s="10" t="s">
        <v>110</v>
      </c>
      <c r="D167" s="10" t="s">
        <v>111</v>
      </c>
      <c r="E167" s="10" t="s">
        <v>533</v>
      </c>
      <c r="F167" s="10" t="s">
        <v>574</v>
      </c>
      <c r="G167" s="14" t="n">
        <v>7</v>
      </c>
      <c r="H167" s="22" t="n">
        <f aca="false">INDEX(Products!$J$5:$J$93,MATCH(A167,Products!$A$5:$A$93,0))</f>
        <v>11350</v>
      </c>
      <c r="I167" s="12" t="n">
        <f aca="false">G167*H167</f>
        <v>79450</v>
      </c>
    </row>
    <row r="168" customFormat="false" ht="15" hidden="false" customHeight="false" outlineLevel="0" collapsed="false">
      <c r="A168" s="10" t="s">
        <v>267</v>
      </c>
      <c r="B168" s="10" t="s">
        <v>268</v>
      </c>
      <c r="C168" s="10" t="s">
        <v>110</v>
      </c>
      <c r="D168" s="10" t="s">
        <v>111</v>
      </c>
      <c r="E168" s="10" t="s">
        <v>536</v>
      </c>
      <c r="F168" s="10" t="s">
        <v>578</v>
      </c>
      <c r="G168" s="14" t="n">
        <v>9</v>
      </c>
      <c r="H168" s="22" t="n">
        <f aca="false">INDEX(Products!$J$5:$J$93,MATCH(A168,Products!$A$5:$A$93,0))</f>
        <v>11350</v>
      </c>
      <c r="I168" s="12" t="n">
        <f aca="false">G168*H168</f>
        <v>102150</v>
      </c>
    </row>
    <row r="169" customFormat="false" ht="15" hidden="false" customHeight="false" outlineLevel="0" collapsed="false">
      <c r="A169" s="10" t="s">
        <v>270</v>
      </c>
      <c r="B169" s="10" t="s">
        <v>271</v>
      </c>
      <c r="C169" s="10" t="s">
        <v>110</v>
      </c>
      <c r="D169" s="10" t="s">
        <v>111</v>
      </c>
      <c r="E169" s="10" t="s">
        <v>517</v>
      </c>
      <c r="F169" s="10" t="s">
        <v>561</v>
      </c>
      <c r="G169" s="14" t="n">
        <v>2</v>
      </c>
      <c r="H169" s="22" t="n">
        <f aca="false">INDEX(Products!$J$5:$J$93,MATCH(A169,Products!$A$5:$A$93,0))</f>
        <v>5900</v>
      </c>
      <c r="I169" s="12" t="n">
        <f aca="false">G169*H169</f>
        <v>11800</v>
      </c>
    </row>
    <row r="170" customFormat="false" ht="15" hidden="false" customHeight="false" outlineLevel="0" collapsed="false">
      <c r="A170" s="10" t="s">
        <v>270</v>
      </c>
      <c r="B170" s="10" t="s">
        <v>271</v>
      </c>
      <c r="C170" s="10" t="s">
        <v>110</v>
      </c>
      <c r="D170" s="10" t="s">
        <v>111</v>
      </c>
      <c r="E170" s="10" t="s">
        <v>517</v>
      </c>
      <c r="F170" s="10" t="s">
        <v>555</v>
      </c>
      <c r="G170" s="14" t="n">
        <v>24</v>
      </c>
      <c r="H170" s="22" t="n">
        <f aca="false">INDEX(Products!$J$5:$J$93,MATCH(A170,Products!$A$5:$A$93,0))</f>
        <v>5900</v>
      </c>
      <c r="I170" s="12" t="n">
        <f aca="false">G170*H170</f>
        <v>141600</v>
      </c>
    </row>
    <row r="171" customFormat="false" ht="15" hidden="false" customHeight="false" outlineLevel="0" collapsed="false">
      <c r="A171" s="10" t="s">
        <v>270</v>
      </c>
      <c r="B171" s="10" t="s">
        <v>271</v>
      </c>
      <c r="C171" s="10" t="s">
        <v>110</v>
      </c>
      <c r="D171" s="10" t="s">
        <v>111</v>
      </c>
      <c r="E171" s="10" t="s">
        <v>524</v>
      </c>
      <c r="F171" s="10" t="s">
        <v>566</v>
      </c>
      <c r="G171" s="14" t="n">
        <v>15</v>
      </c>
      <c r="H171" s="22" t="n">
        <f aca="false">INDEX(Products!$J$5:$J$93,MATCH(A171,Products!$A$5:$A$93,0))</f>
        <v>5900</v>
      </c>
      <c r="I171" s="12" t="n">
        <f aca="false">G171*H171</f>
        <v>88500</v>
      </c>
    </row>
    <row r="172" customFormat="false" ht="15" hidden="false" customHeight="false" outlineLevel="0" collapsed="false">
      <c r="A172" s="10" t="s">
        <v>270</v>
      </c>
      <c r="B172" s="10" t="s">
        <v>271</v>
      </c>
      <c r="C172" s="10" t="s">
        <v>110</v>
      </c>
      <c r="D172" s="10" t="s">
        <v>111</v>
      </c>
      <c r="E172" s="10" t="s">
        <v>530</v>
      </c>
      <c r="F172" s="10" t="s">
        <v>570</v>
      </c>
      <c r="G172" s="14" t="n">
        <v>14</v>
      </c>
      <c r="H172" s="22" t="n">
        <f aca="false">INDEX(Products!$J$5:$J$93,MATCH(A172,Products!$A$5:$A$93,0))</f>
        <v>5900</v>
      </c>
      <c r="I172" s="12" t="n">
        <f aca="false">G172*H172</f>
        <v>82600</v>
      </c>
    </row>
    <row r="173" customFormat="false" ht="15" hidden="false" customHeight="false" outlineLevel="0" collapsed="false">
      <c r="A173" s="10" t="s">
        <v>270</v>
      </c>
      <c r="B173" s="10" t="s">
        <v>271</v>
      </c>
      <c r="C173" s="10" t="s">
        <v>110</v>
      </c>
      <c r="D173" s="10" t="s">
        <v>111</v>
      </c>
      <c r="E173" s="10" t="s">
        <v>533</v>
      </c>
      <c r="F173" s="10" t="s">
        <v>574</v>
      </c>
      <c r="G173" s="14" t="n">
        <v>9</v>
      </c>
      <c r="H173" s="22" t="n">
        <f aca="false">INDEX(Products!$J$5:$J$93,MATCH(A173,Products!$A$5:$A$93,0))</f>
        <v>5900</v>
      </c>
      <c r="I173" s="12" t="n">
        <f aca="false">G173*H173</f>
        <v>53100</v>
      </c>
    </row>
    <row r="174" customFormat="false" ht="15" hidden="false" customHeight="false" outlineLevel="0" collapsed="false">
      <c r="A174" s="10" t="s">
        <v>270</v>
      </c>
      <c r="B174" s="10" t="s">
        <v>271</v>
      </c>
      <c r="C174" s="10" t="s">
        <v>110</v>
      </c>
      <c r="D174" s="10" t="s">
        <v>111</v>
      </c>
      <c r="E174" s="10" t="s">
        <v>536</v>
      </c>
      <c r="F174" s="10" t="s">
        <v>578</v>
      </c>
      <c r="G174" s="14" t="n">
        <v>11</v>
      </c>
      <c r="H174" s="22" t="n">
        <f aca="false">INDEX(Products!$J$5:$J$93,MATCH(A174,Products!$A$5:$A$93,0))</f>
        <v>5900</v>
      </c>
      <c r="I174" s="12" t="n">
        <f aca="false">G174*H174</f>
        <v>64900</v>
      </c>
    </row>
    <row r="175" customFormat="false" ht="15" hidden="false" customHeight="false" outlineLevel="0" collapsed="false">
      <c r="A175" s="10" t="s">
        <v>273</v>
      </c>
      <c r="B175" s="10" t="s">
        <v>274</v>
      </c>
      <c r="C175" s="10" t="s">
        <v>110</v>
      </c>
      <c r="D175" s="10" t="s">
        <v>111</v>
      </c>
      <c r="E175" s="10" t="s">
        <v>517</v>
      </c>
      <c r="F175" s="10" t="s">
        <v>555</v>
      </c>
      <c r="G175" s="14" t="n">
        <v>3</v>
      </c>
      <c r="H175" s="22" t="n">
        <f aca="false">INDEX(Products!$J$5:$J$93,MATCH(A175,Products!$A$5:$A$93,0))</f>
        <v>52100</v>
      </c>
      <c r="I175" s="12" t="n">
        <f aca="false">G175*H175</f>
        <v>156300</v>
      </c>
    </row>
    <row r="176" customFormat="false" ht="15" hidden="false" customHeight="false" outlineLevel="0" collapsed="false">
      <c r="A176" s="10" t="s">
        <v>273</v>
      </c>
      <c r="B176" s="10" t="s">
        <v>274</v>
      </c>
      <c r="C176" s="10" t="s">
        <v>110</v>
      </c>
      <c r="D176" s="10" t="s">
        <v>111</v>
      </c>
      <c r="E176" s="10" t="s">
        <v>524</v>
      </c>
      <c r="F176" s="10" t="s">
        <v>566</v>
      </c>
      <c r="G176" s="14" t="n">
        <v>2</v>
      </c>
      <c r="H176" s="22" t="n">
        <f aca="false">INDEX(Products!$J$5:$J$93,MATCH(A176,Products!$A$5:$A$93,0))</f>
        <v>52100</v>
      </c>
      <c r="I176" s="12" t="n">
        <f aca="false">G176*H176</f>
        <v>104200</v>
      </c>
    </row>
    <row r="177" customFormat="false" ht="15" hidden="false" customHeight="false" outlineLevel="0" collapsed="false">
      <c r="A177" s="10" t="s">
        <v>273</v>
      </c>
      <c r="B177" s="10" t="s">
        <v>274</v>
      </c>
      <c r="C177" s="10" t="s">
        <v>110</v>
      </c>
      <c r="D177" s="10" t="s">
        <v>111</v>
      </c>
      <c r="E177" s="10" t="s">
        <v>530</v>
      </c>
      <c r="F177" s="10" t="s">
        <v>570</v>
      </c>
      <c r="G177" s="14" t="n">
        <v>1</v>
      </c>
      <c r="H177" s="22" t="n">
        <f aca="false">INDEX(Products!$J$5:$J$93,MATCH(A177,Products!$A$5:$A$93,0))</f>
        <v>52100</v>
      </c>
      <c r="I177" s="12" t="n">
        <f aca="false">G177*H177</f>
        <v>52100</v>
      </c>
    </row>
    <row r="178" customFormat="false" ht="15" hidden="false" customHeight="false" outlineLevel="0" collapsed="false">
      <c r="A178" s="10" t="s">
        <v>273</v>
      </c>
      <c r="B178" s="10" t="s">
        <v>274</v>
      </c>
      <c r="C178" s="10" t="s">
        <v>110</v>
      </c>
      <c r="D178" s="10" t="s">
        <v>111</v>
      </c>
      <c r="E178" s="10" t="s">
        <v>533</v>
      </c>
      <c r="F178" s="10" t="s">
        <v>574</v>
      </c>
      <c r="G178" s="14" t="n">
        <v>1</v>
      </c>
      <c r="H178" s="22" t="n">
        <f aca="false">INDEX(Products!$J$5:$J$93,MATCH(A178,Products!$A$5:$A$93,0))</f>
        <v>52100</v>
      </c>
      <c r="I178" s="12" t="n">
        <f aca="false">G178*H178</f>
        <v>52100</v>
      </c>
    </row>
    <row r="179" customFormat="false" ht="15" hidden="false" customHeight="false" outlineLevel="0" collapsed="false">
      <c r="A179" s="10" t="s">
        <v>273</v>
      </c>
      <c r="B179" s="10" t="s">
        <v>274</v>
      </c>
      <c r="C179" s="10" t="s">
        <v>110</v>
      </c>
      <c r="D179" s="10" t="s">
        <v>111</v>
      </c>
      <c r="E179" s="10" t="s">
        <v>536</v>
      </c>
      <c r="F179" s="10" t="s">
        <v>578</v>
      </c>
      <c r="G179" s="14" t="n">
        <v>1</v>
      </c>
      <c r="H179" s="22" t="n">
        <f aca="false">INDEX(Products!$J$5:$J$93,MATCH(A179,Products!$A$5:$A$93,0))</f>
        <v>52100</v>
      </c>
      <c r="I179" s="12" t="n">
        <f aca="false">G179*H179</f>
        <v>52100</v>
      </c>
    </row>
    <row r="180" customFormat="false" ht="15" hidden="false" customHeight="false" outlineLevel="0" collapsed="false">
      <c r="A180" s="10" t="s">
        <v>276</v>
      </c>
      <c r="B180" s="10" t="s">
        <v>277</v>
      </c>
      <c r="C180" s="10" t="s">
        <v>110</v>
      </c>
      <c r="D180" s="10" t="s">
        <v>111</v>
      </c>
      <c r="E180" s="10" t="s">
        <v>517</v>
      </c>
      <c r="F180" s="10" t="s">
        <v>561</v>
      </c>
      <c r="G180" s="14" t="n">
        <v>2</v>
      </c>
      <c r="H180" s="22" t="n">
        <f aca="false">INDEX(Products!$J$5:$J$93,MATCH(A180,Products!$A$5:$A$93,0))</f>
        <v>9400</v>
      </c>
      <c r="I180" s="12" t="n">
        <f aca="false">G180*H180</f>
        <v>18800</v>
      </c>
    </row>
    <row r="181" customFormat="false" ht="15" hidden="false" customHeight="false" outlineLevel="0" collapsed="false">
      <c r="A181" s="10" t="s">
        <v>276</v>
      </c>
      <c r="B181" s="10" t="s">
        <v>277</v>
      </c>
      <c r="C181" s="10" t="s">
        <v>110</v>
      </c>
      <c r="D181" s="10" t="s">
        <v>111</v>
      </c>
      <c r="E181" s="10" t="s">
        <v>517</v>
      </c>
      <c r="F181" s="10" t="s">
        <v>555</v>
      </c>
      <c r="G181" s="14" t="n">
        <v>9</v>
      </c>
      <c r="H181" s="22" t="n">
        <f aca="false">INDEX(Products!$J$5:$J$93,MATCH(A181,Products!$A$5:$A$93,0))</f>
        <v>9400</v>
      </c>
      <c r="I181" s="12" t="n">
        <f aca="false">G181*H181</f>
        <v>84600</v>
      </c>
    </row>
    <row r="182" customFormat="false" ht="15" hidden="false" customHeight="false" outlineLevel="0" collapsed="false">
      <c r="A182" s="10" t="s">
        <v>276</v>
      </c>
      <c r="B182" s="10" t="s">
        <v>277</v>
      </c>
      <c r="C182" s="10" t="s">
        <v>110</v>
      </c>
      <c r="D182" s="10" t="s">
        <v>111</v>
      </c>
      <c r="E182" s="10" t="s">
        <v>524</v>
      </c>
      <c r="F182" s="10" t="s">
        <v>566</v>
      </c>
      <c r="G182" s="14" t="n">
        <v>6</v>
      </c>
      <c r="H182" s="22" t="n">
        <f aca="false">INDEX(Products!$J$5:$J$93,MATCH(A182,Products!$A$5:$A$93,0))</f>
        <v>9400</v>
      </c>
      <c r="I182" s="12" t="n">
        <f aca="false">G182*H182</f>
        <v>56400</v>
      </c>
    </row>
    <row r="183" customFormat="false" ht="15" hidden="false" customHeight="false" outlineLevel="0" collapsed="false">
      <c r="A183" s="10" t="s">
        <v>276</v>
      </c>
      <c r="B183" s="10" t="s">
        <v>277</v>
      </c>
      <c r="C183" s="10" t="s">
        <v>110</v>
      </c>
      <c r="D183" s="10" t="s">
        <v>111</v>
      </c>
      <c r="E183" s="10" t="s">
        <v>530</v>
      </c>
      <c r="F183" s="10" t="s">
        <v>570</v>
      </c>
      <c r="G183" s="14" t="n">
        <v>5</v>
      </c>
      <c r="H183" s="22" t="n">
        <f aca="false">INDEX(Products!$J$5:$J$93,MATCH(A183,Products!$A$5:$A$93,0))</f>
        <v>9400</v>
      </c>
      <c r="I183" s="12" t="n">
        <f aca="false">G183*H183</f>
        <v>47000</v>
      </c>
    </row>
    <row r="184" customFormat="false" ht="15" hidden="false" customHeight="false" outlineLevel="0" collapsed="false">
      <c r="A184" s="10" t="s">
        <v>276</v>
      </c>
      <c r="B184" s="10" t="s">
        <v>277</v>
      </c>
      <c r="C184" s="10" t="s">
        <v>110</v>
      </c>
      <c r="D184" s="10" t="s">
        <v>111</v>
      </c>
      <c r="E184" s="10" t="s">
        <v>533</v>
      </c>
      <c r="F184" s="10" t="s">
        <v>574</v>
      </c>
      <c r="G184" s="14" t="n">
        <v>4</v>
      </c>
      <c r="H184" s="22" t="n">
        <f aca="false">INDEX(Products!$J$5:$J$93,MATCH(A184,Products!$A$5:$A$93,0))</f>
        <v>9400</v>
      </c>
      <c r="I184" s="12" t="n">
        <f aca="false">G184*H184</f>
        <v>37600</v>
      </c>
    </row>
    <row r="185" customFormat="false" ht="15" hidden="false" customHeight="false" outlineLevel="0" collapsed="false">
      <c r="A185" s="10" t="s">
        <v>276</v>
      </c>
      <c r="B185" s="10" t="s">
        <v>277</v>
      </c>
      <c r="C185" s="10" t="s">
        <v>110</v>
      </c>
      <c r="D185" s="10" t="s">
        <v>111</v>
      </c>
      <c r="E185" s="10" t="s">
        <v>536</v>
      </c>
      <c r="F185" s="10" t="s">
        <v>578</v>
      </c>
      <c r="G185" s="14" t="n">
        <v>4</v>
      </c>
      <c r="H185" s="22" t="n">
        <f aca="false">INDEX(Products!$J$5:$J$93,MATCH(A185,Products!$A$5:$A$93,0))</f>
        <v>9400</v>
      </c>
      <c r="I185" s="12" t="n">
        <f aca="false">G185*H185</f>
        <v>37600</v>
      </c>
    </row>
    <row r="186" customFormat="false" ht="15" hidden="false" customHeight="false" outlineLevel="0" collapsed="false">
      <c r="A186" s="10" t="s">
        <v>280</v>
      </c>
      <c r="B186" s="10" t="s">
        <v>281</v>
      </c>
      <c r="C186" s="10" t="s">
        <v>118</v>
      </c>
      <c r="D186" s="10" t="s">
        <v>115</v>
      </c>
      <c r="E186" s="10" t="s">
        <v>517</v>
      </c>
      <c r="F186" s="10" t="s">
        <v>561</v>
      </c>
      <c r="G186" s="14" t="n">
        <v>2</v>
      </c>
      <c r="H186" s="22" t="n">
        <f aca="false">INDEX(Products!$J$5:$J$93,MATCH(A186,Products!$A$5:$A$93,0))</f>
        <v>1370</v>
      </c>
      <c r="I186" s="12" t="n">
        <f aca="false">G186*H186</f>
        <v>2740</v>
      </c>
    </row>
    <row r="187" customFormat="false" ht="15" hidden="false" customHeight="false" outlineLevel="0" collapsed="false">
      <c r="A187" s="10" t="s">
        <v>280</v>
      </c>
      <c r="B187" s="10" t="s">
        <v>281</v>
      </c>
      <c r="C187" s="10" t="s">
        <v>118</v>
      </c>
      <c r="D187" s="10" t="s">
        <v>115</v>
      </c>
      <c r="E187" s="10" t="s">
        <v>517</v>
      </c>
      <c r="F187" s="10" t="s">
        <v>555</v>
      </c>
      <c r="G187" s="14" t="n">
        <v>29</v>
      </c>
      <c r="H187" s="22" t="n">
        <f aca="false">INDEX(Products!$J$5:$J$93,MATCH(A187,Products!$A$5:$A$93,0))</f>
        <v>1370</v>
      </c>
      <c r="I187" s="12" t="n">
        <f aca="false">G187*H187</f>
        <v>39730</v>
      </c>
    </row>
    <row r="188" customFormat="false" ht="15" hidden="false" customHeight="false" outlineLevel="0" collapsed="false">
      <c r="A188" s="10" t="s">
        <v>280</v>
      </c>
      <c r="B188" s="10" t="s">
        <v>281</v>
      </c>
      <c r="C188" s="10" t="s">
        <v>118</v>
      </c>
      <c r="D188" s="10" t="s">
        <v>115</v>
      </c>
      <c r="E188" s="10" t="s">
        <v>524</v>
      </c>
      <c r="F188" s="10" t="s">
        <v>566</v>
      </c>
      <c r="G188" s="14" t="n">
        <v>18</v>
      </c>
      <c r="H188" s="22" t="n">
        <f aca="false">INDEX(Products!$J$5:$J$93,MATCH(A188,Products!$A$5:$A$93,0))</f>
        <v>1370</v>
      </c>
      <c r="I188" s="12" t="n">
        <f aca="false">G188*H188</f>
        <v>24660</v>
      </c>
    </row>
    <row r="189" customFormat="false" ht="15" hidden="false" customHeight="false" outlineLevel="0" collapsed="false">
      <c r="A189" s="10" t="s">
        <v>280</v>
      </c>
      <c r="B189" s="10" t="s">
        <v>281</v>
      </c>
      <c r="C189" s="10" t="s">
        <v>118</v>
      </c>
      <c r="D189" s="10" t="s">
        <v>115</v>
      </c>
      <c r="E189" s="10" t="s">
        <v>530</v>
      </c>
      <c r="F189" s="10" t="s">
        <v>570</v>
      </c>
      <c r="G189" s="14" t="n">
        <v>16</v>
      </c>
      <c r="H189" s="22" t="n">
        <f aca="false">INDEX(Products!$J$5:$J$93,MATCH(A189,Products!$A$5:$A$93,0))</f>
        <v>1370</v>
      </c>
      <c r="I189" s="12" t="n">
        <f aca="false">G189*H189</f>
        <v>21920</v>
      </c>
    </row>
    <row r="190" customFormat="false" ht="15" hidden="false" customHeight="false" outlineLevel="0" collapsed="false">
      <c r="A190" s="10" t="s">
        <v>280</v>
      </c>
      <c r="B190" s="10" t="s">
        <v>281</v>
      </c>
      <c r="C190" s="10" t="s">
        <v>118</v>
      </c>
      <c r="D190" s="10" t="s">
        <v>115</v>
      </c>
      <c r="E190" s="10" t="s">
        <v>533</v>
      </c>
      <c r="F190" s="10" t="s">
        <v>574</v>
      </c>
      <c r="G190" s="14" t="n">
        <v>11</v>
      </c>
      <c r="H190" s="22" t="n">
        <f aca="false">INDEX(Products!$J$5:$J$93,MATCH(A190,Products!$A$5:$A$93,0))</f>
        <v>1370</v>
      </c>
      <c r="I190" s="12" t="n">
        <f aca="false">G190*H190</f>
        <v>15070</v>
      </c>
    </row>
    <row r="191" customFormat="false" ht="15" hidden="false" customHeight="false" outlineLevel="0" collapsed="false">
      <c r="A191" s="10" t="s">
        <v>280</v>
      </c>
      <c r="B191" s="10" t="s">
        <v>281</v>
      </c>
      <c r="C191" s="10" t="s">
        <v>118</v>
      </c>
      <c r="D191" s="10" t="s">
        <v>115</v>
      </c>
      <c r="E191" s="10" t="s">
        <v>536</v>
      </c>
      <c r="F191" s="10" t="s">
        <v>578</v>
      </c>
      <c r="G191" s="14" t="n">
        <v>14</v>
      </c>
      <c r="H191" s="22" t="n">
        <f aca="false">INDEX(Products!$J$5:$J$93,MATCH(A191,Products!$A$5:$A$93,0))</f>
        <v>1370</v>
      </c>
      <c r="I191" s="12" t="n">
        <f aca="false">G191*H191</f>
        <v>19180</v>
      </c>
    </row>
    <row r="192" customFormat="false" ht="15" hidden="false" customHeight="false" outlineLevel="0" collapsed="false">
      <c r="A192" s="10" t="s">
        <v>283</v>
      </c>
      <c r="B192" s="10" t="s">
        <v>284</v>
      </c>
      <c r="C192" s="10" t="s">
        <v>118</v>
      </c>
      <c r="D192" s="10" t="s">
        <v>115</v>
      </c>
      <c r="E192" s="10" t="s">
        <v>517</v>
      </c>
      <c r="F192" s="10" t="s">
        <v>561</v>
      </c>
      <c r="G192" s="14" t="n">
        <v>2</v>
      </c>
      <c r="H192" s="22" t="n">
        <f aca="false">INDEX(Products!$J$5:$J$93,MATCH(A192,Products!$A$5:$A$93,0))</f>
        <v>6800</v>
      </c>
      <c r="I192" s="12" t="n">
        <f aca="false">G192*H192</f>
        <v>13600</v>
      </c>
    </row>
    <row r="193" customFormat="false" ht="15" hidden="false" customHeight="false" outlineLevel="0" collapsed="false">
      <c r="A193" s="10" t="s">
        <v>283</v>
      </c>
      <c r="B193" s="10" t="s">
        <v>284</v>
      </c>
      <c r="C193" s="10" t="s">
        <v>118</v>
      </c>
      <c r="D193" s="10" t="s">
        <v>115</v>
      </c>
      <c r="E193" s="10" t="s">
        <v>517</v>
      </c>
      <c r="F193" s="10" t="s">
        <v>555</v>
      </c>
      <c r="G193" s="14" t="n">
        <v>16</v>
      </c>
      <c r="H193" s="22" t="n">
        <f aca="false">INDEX(Products!$J$5:$J$93,MATCH(A193,Products!$A$5:$A$93,0))</f>
        <v>6800</v>
      </c>
      <c r="I193" s="12" t="n">
        <f aca="false">G193*H193</f>
        <v>108800</v>
      </c>
    </row>
    <row r="194" customFormat="false" ht="15" hidden="false" customHeight="false" outlineLevel="0" collapsed="false">
      <c r="A194" s="10" t="s">
        <v>283</v>
      </c>
      <c r="B194" s="10" t="s">
        <v>284</v>
      </c>
      <c r="C194" s="10" t="s">
        <v>118</v>
      </c>
      <c r="D194" s="10" t="s">
        <v>115</v>
      </c>
      <c r="E194" s="10" t="s">
        <v>524</v>
      </c>
      <c r="F194" s="10" t="s">
        <v>566</v>
      </c>
      <c r="G194" s="14" t="n">
        <v>10</v>
      </c>
      <c r="H194" s="22" t="n">
        <f aca="false">INDEX(Products!$J$5:$J$93,MATCH(A194,Products!$A$5:$A$93,0))</f>
        <v>6800</v>
      </c>
      <c r="I194" s="12" t="n">
        <f aca="false">G194*H194</f>
        <v>68000</v>
      </c>
    </row>
    <row r="195" customFormat="false" ht="15" hidden="false" customHeight="false" outlineLevel="0" collapsed="false">
      <c r="A195" s="10" t="s">
        <v>283</v>
      </c>
      <c r="B195" s="10" t="s">
        <v>284</v>
      </c>
      <c r="C195" s="10" t="s">
        <v>118</v>
      </c>
      <c r="D195" s="10" t="s">
        <v>115</v>
      </c>
      <c r="E195" s="10" t="s">
        <v>530</v>
      </c>
      <c r="F195" s="10" t="s">
        <v>570</v>
      </c>
      <c r="G195" s="14" t="n">
        <v>9</v>
      </c>
      <c r="H195" s="22" t="n">
        <f aca="false">INDEX(Products!$J$5:$J$93,MATCH(A195,Products!$A$5:$A$93,0))</f>
        <v>6800</v>
      </c>
      <c r="I195" s="12" t="n">
        <f aca="false">G195*H195</f>
        <v>61200</v>
      </c>
    </row>
    <row r="196" customFormat="false" ht="15" hidden="false" customHeight="false" outlineLevel="0" collapsed="false">
      <c r="A196" s="10" t="s">
        <v>283</v>
      </c>
      <c r="B196" s="10" t="s">
        <v>284</v>
      </c>
      <c r="C196" s="10" t="s">
        <v>118</v>
      </c>
      <c r="D196" s="10" t="s">
        <v>115</v>
      </c>
      <c r="E196" s="10" t="s">
        <v>533</v>
      </c>
      <c r="F196" s="10" t="s">
        <v>574</v>
      </c>
      <c r="G196" s="14" t="n">
        <v>6</v>
      </c>
      <c r="H196" s="22" t="n">
        <f aca="false">INDEX(Products!$J$5:$J$93,MATCH(A196,Products!$A$5:$A$93,0))</f>
        <v>6800</v>
      </c>
      <c r="I196" s="12" t="n">
        <f aca="false">G196*H196</f>
        <v>40800</v>
      </c>
    </row>
    <row r="197" customFormat="false" ht="15" hidden="false" customHeight="false" outlineLevel="0" collapsed="false">
      <c r="A197" s="10" t="s">
        <v>283</v>
      </c>
      <c r="B197" s="10" t="s">
        <v>284</v>
      </c>
      <c r="C197" s="10" t="s">
        <v>118</v>
      </c>
      <c r="D197" s="10" t="s">
        <v>115</v>
      </c>
      <c r="E197" s="10" t="s">
        <v>536</v>
      </c>
      <c r="F197" s="10" t="s">
        <v>578</v>
      </c>
      <c r="G197" s="14" t="n">
        <v>7</v>
      </c>
      <c r="H197" s="22" t="n">
        <f aca="false">INDEX(Products!$J$5:$J$93,MATCH(A197,Products!$A$5:$A$93,0))</f>
        <v>6800</v>
      </c>
      <c r="I197" s="12" t="n">
        <f aca="false">G197*H197</f>
        <v>47600</v>
      </c>
    </row>
    <row r="198" customFormat="false" ht="15" hidden="false" customHeight="false" outlineLevel="0" collapsed="false">
      <c r="A198" s="10" t="s">
        <v>286</v>
      </c>
      <c r="B198" s="10" t="s">
        <v>287</v>
      </c>
      <c r="C198" s="10" t="s">
        <v>118</v>
      </c>
      <c r="D198" s="10" t="s">
        <v>115</v>
      </c>
      <c r="E198" s="10" t="s">
        <v>517</v>
      </c>
      <c r="F198" s="10" t="s">
        <v>561</v>
      </c>
      <c r="G198" s="14" t="n">
        <v>2</v>
      </c>
      <c r="H198" s="22" t="n">
        <f aca="false">INDEX(Products!$J$5:$J$93,MATCH(A198,Products!$A$5:$A$93,0))</f>
        <v>7550</v>
      </c>
      <c r="I198" s="12" t="n">
        <f aca="false">G198*H198</f>
        <v>15100</v>
      </c>
    </row>
    <row r="199" customFormat="false" ht="15" hidden="false" customHeight="false" outlineLevel="0" collapsed="false">
      <c r="A199" s="10" t="s">
        <v>286</v>
      </c>
      <c r="B199" s="10" t="s">
        <v>287</v>
      </c>
      <c r="C199" s="10" t="s">
        <v>118</v>
      </c>
      <c r="D199" s="10" t="s">
        <v>115</v>
      </c>
      <c r="E199" s="10" t="s">
        <v>517</v>
      </c>
      <c r="F199" s="10" t="s">
        <v>555</v>
      </c>
      <c r="G199" s="14" t="n">
        <v>10</v>
      </c>
      <c r="H199" s="22" t="n">
        <f aca="false">INDEX(Products!$J$5:$J$93,MATCH(A199,Products!$A$5:$A$93,0))</f>
        <v>7550</v>
      </c>
      <c r="I199" s="12" t="n">
        <f aca="false">G199*H199</f>
        <v>75500</v>
      </c>
    </row>
    <row r="200" customFormat="false" ht="15" hidden="false" customHeight="false" outlineLevel="0" collapsed="false">
      <c r="A200" s="10" t="s">
        <v>286</v>
      </c>
      <c r="B200" s="10" t="s">
        <v>287</v>
      </c>
      <c r="C200" s="10" t="s">
        <v>118</v>
      </c>
      <c r="D200" s="10" t="s">
        <v>115</v>
      </c>
      <c r="E200" s="10" t="s">
        <v>524</v>
      </c>
      <c r="F200" s="10" t="s">
        <v>566</v>
      </c>
      <c r="G200" s="14" t="n">
        <v>7</v>
      </c>
      <c r="H200" s="22" t="n">
        <f aca="false">INDEX(Products!$J$5:$J$93,MATCH(A200,Products!$A$5:$A$93,0))</f>
        <v>7550</v>
      </c>
      <c r="I200" s="12" t="n">
        <f aca="false">G200*H200</f>
        <v>52850</v>
      </c>
    </row>
    <row r="201" customFormat="false" ht="15" hidden="false" customHeight="false" outlineLevel="0" collapsed="false">
      <c r="A201" s="10" t="s">
        <v>286</v>
      </c>
      <c r="B201" s="10" t="s">
        <v>287</v>
      </c>
      <c r="C201" s="10" t="s">
        <v>118</v>
      </c>
      <c r="D201" s="10" t="s">
        <v>115</v>
      </c>
      <c r="E201" s="10" t="s">
        <v>530</v>
      </c>
      <c r="F201" s="10" t="s">
        <v>570</v>
      </c>
      <c r="G201" s="14" t="n">
        <v>7</v>
      </c>
      <c r="H201" s="22" t="n">
        <f aca="false">INDEX(Products!$J$5:$J$93,MATCH(A201,Products!$A$5:$A$93,0))</f>
        <v>7550</v>
      </c>
      <c r="I201" s="12" t="n">
        <f aca="false">G201*H201</f>
        <v>52850</v>
      </c>
    </row>
    <row r="202" customFormat="false" ht="15" hidden="false" customHeight="false" outlineLevel="0" collapsed="false">
      <c r="A202" s="10" t="s">
        <v>286</v>
      </c>
      <c r="B202" s="10" t="s">
        <v>287</v>
      </c>
      <c r="C202" s="10" t="s">
        <v>118</v>
      </c>
      <c r="D202" s="10" t="s">
        <v>115</v>
      </c>
      <c r="E202" s="10" t="s">
        <v>533</v>
      </c>
      <c r="F202" s="10" t="s">
        <v>574</v>
      </c>
      <c r="G202" s="14" t="n">
        <v>4</v>
      </c>
      <c r="H202" s="22" t="n">
        <f aca="false">INDEX(Products!$J$5:$J$93,MATCH(A202,Products!$A$5:$A$93,0))</f>
        <v>7550</v>
      </c>
      <c r="I202" s="12" t="n">
        <f aca="false">G202*H202</f>
        <v>30200</v>
      </c>
    </row>
    <row r="203" customFormat="false" ht="15" hidden="false" customHeight="false" outlineLevel="0" collapsed="false">
      <c r="A203" s="10" t="s">
        <v>286</v>
      </c>
      <c r="B203" s="10" t="s">
        <v>287</v>
      </c>
      <c r="C203" s="10" t="s">
        <v>118</v>
      </c>
      <c r="D203" s="10" t="s">
        <v>115</v>
      </c>
      <c r="E203" s="10" t="s">
        <v>536</v>
      </c>
      <c r="F203" s="10" t="s">
        <v>578</v>
      </c>
      <c r="G203" s="14" t="n">
        <v>5</v>
      </c>
      <c r="H203" s="22" t="n">
        <f aca="false">INDEX(Products!$J$5:$J$93,MATCH(A203,Products!$A$5:$A$93,0))</f>
        <v>7550</v>
      </c>
      <c r="I203" s="12" t="n">
        <f aca="false">G203*H203</f>
        <v>37750</v>
      </c>
    </row>
    <row r="204" customFormat="false" ht="15" hidden="false" customHeight="false" outlineLevel="0" collapsed="false">
      <c r="A204" s="10" t="s">
        <v>289</v>
      </c>
      <c r="B204" s="10" t="s">
        <v>290</v>
      </c>
      <c r="C204" s="10" t="s">
        <v>118</v>
      </c>
      <c r="D204" s="10" t="s">
        <v>115</v>
      </c>
      <c r="E204" s="10" t="s">
        <v>517</v>
      </c>
      <c r="F204" s="10" t="s">
        <v>561</v>
      </c>
      <c r="G204" s="14" t="n">
        <v>2</v>
      </c>
      <c r="H204" s="22" t="n">
        <f aca="false">INDEX(Products!$J$5:$J$93,MATCH(A204,Products!$A$5:$A$93,0))</f>
        <v>2150</v>
      </c>
      <c r="I204" s="12" t="n">
        <f aca="false">G204*H204</f>
        <v>4300</v>
      </c>
    </row>
    <row r="205" customFormat="false" ht="15" hidden="false" customHeight="false" outlineLevel="0" collapsed="false">
      <c r="A205" s="10" t="s">
        <v>289</v>
      </c>
      <c r="B205" s="10" t="s">
        <v>290</v>
      </c>
      <c r="C205" s="10" t="s">
        <v>118</v>
      </c>
      <c r="D205" s="10" t="s">
        <v>115</v>
      </c>
      <c r="E205" s="10" t="s">
        <v>517</v>
      </c>
      <c r="F205" s="10" t="s">
        <v>555</v>
      </c>
      <c r="G205" s="14" t="n">
        <v>37</v>
      </c>
      <c r="H205" s="22" t="n">
        <f aca="false">INDEX(Products!$J$5:$J$93,MATCH(A205,Products!$A$5:$A$93,0))</f>
        <v>2150</v>
      </c>
      <c r="I205" s="12" t="n">
        <f aca="false">G205*H205</f>
        <v>79550</v>
      </c>
    </row>
    <row r="206" customFormat="false" ht="15" hidden="false" customHeight="false" outlineLevel="0" collapsed="false">
      <c r="A206" s="10" t="s">
        <v>289</v>
      </c>
      <c r="B206" s="10" t="s">
        <v>290</v>
      </c>
      <c r="C206" s="10" t="s">
        <v>118</v>
      </c>
      <c r="D206" s="10" t="s">
        <v>115</v>
      </c>
      <c r="E206" s="10" t="s">
        <v>524</v>
      </c>
      <c r="F206" s="10" t="s">
        <v>566</v>
      </c>
      <c r="G206" s="14" t="n">
        <v>22</v>
      </c>
      <c r="H206" s="22" t="n">
        <f aca="false">INDEX(Products!$J$5:$J$93,MATCH(A206,Products!$A$5:$A$93,0))</f>
        <v>2150</v>
      </c>
      <c r="I206" s="12" t="n">
        <f aca="false">G206*H206</f>
        <v>47300</v>
      </c>
    </row>
    <row r="207" customFormat="false" ht="15" hidden="false" customHeight="false" outlineLevel="0" collapsed="false">
      <c r="A207" s="10" t="s">
        <v>289</v>
      </c>
      <c r="B207" s="10" t="s">
        <v>290</v>
      </c>
      <c r="C207" s="10" t="s">
        <v>118</v>
      </c>
      <c r="D207" s="10" t="s">
        <v>115</v>
      </c>
      <c r="E207" s="10" t="s">
        <v>530</v>
      </c>
      <c r="F207" s="10" t="s">
        <v>570</v>
      </c>
      <c r="G207" s="14" t="n">
        <v>20</v>
      </c>
      <c r="H207" s="22" t="n">
        <f aca="false">INDEX(Products!$J$5:$J$93,MATCH(A207,Products!$A$5:$A$93,0))</f>
        <v>2150</v>
      </c>
      <c r="I207" s="12" t="n">
        <f aca="false">G207*H207</f>
        <v>43000</v>
      </c>
    </row>
    <row r="208" customFormat="false" ht="15" hidden="false" customHeight="false" outlineLevel="0" collapsed="false">
      <c r="A208" s="10" t="s">
        <v>289</v>
      </c>
      <c r="B208" s="10" t="s">
        <v>290</v>
      </c>
      <c r="C208" s="10" t="s">
        <v>118</v>
      </c>
      <c r="D208" s="10" t="s">
        <v>115</v>
      </c>
      <c r="E208" s="10" t="s">
        <v>533</v>
      </c>
      <c r="F208" s="10" t="s">
        <v>574</v>
      </c>
      <c r="G208" s="14" t="n">
        <v>13</v>
      </c>
      <c r="H208" s="22" t="n">
        <f aca="false">INDEX(Products!$J$5:$J$93,MATCH(A208,Products!$A$5:$A$93,0))</f>
        <v>2150</v>
      </c>
      <c r="I208" s="12" t="n">
        <f aca="false">G208*H208</f>
        <v>27950</v>
      </c>
    </row>
    <row r="209" customFormat="false" ht="15" hidden="false" customHeight="false" outlineLevel="0" collapsed="false">
      <c r="A209" s="10" t="s">
        <v>289</v>
      </c>
      <c r="B209" s="10" t="s">
        <v>290</v>
      </c>
      <c r="C209" s="10" t="s">
        <v>118</v>
      </c>
      <c r="D209" s="10" t="s">
        <v>115</v>
      </c>
      <c r="E209" s="10" t="s">
        <v>536</v>
      </c>
      <c r="F209" s="10" t="s">
        <v>578</v>
      </c>
      <c r="G209" s="14" t="n">
        <v>16</v>
      </c>
      <c r="H209" s="22" t="n">
        <f aca="false">INDEX(Products!$J$5:$J$93,MATCH(A209,Products!$A$5:$A$93,0))</f>
        <v>2150</v>
      </c>
      <c r="I209" s="12" t="n">
        <f aca="false">G209*H209</f>
        <v>34400</v>
      </c>
    </row>
    <row r="210" customFormat="false" ht="15" hidden="false" customHeight="false" outlineLevel="0" collapsed="false">
      <c r="A210" s="10" t="s">
        <v>292</v>
      </c>
      <c r="B210" s="10" t="s">
        <v>293</v>
      </c>
      <c r="C210" s="10" t="s">
        <v>118</v>
      </c>
      <c r="D210" s="10" t="s">
        <v>115</v>
      </c>
      <c r="E210" s="10" t="s">
        <v>517</v>
      </c>
      <c r="F210" s="10" t="s">
        <v>561</v>
      </c>
      <c r="G210" s="14" t="n">
        <v>2</v>
      </c>
      <c r="H210" s="22" t="n">
        <f aca="false">INDEX(Products!$J$5:$J$93,MATCH(A210,Products!$A$5:$A$93,0))</f>
        <v>8000</v>
      </c>
      <c r="I210" s="12" t="n">
        <f aca="false">G210*H210</f>
        <v>16000</v>
      </c>
    </row>
    <row r="211" customFormat="false" ht="15" hidden="false" customHeight="false" outlineLevel="0" collapsed="false">
      <c r="A211" s="10" t="s">
        <v>292</v>
      </c>
      <c r="B211" s="10" t="s">
        <v>293</v>
      </c>
      <c r="C211" s="10" t="s">
        <v>118</v>
      </c>
      <c r="D211" s="10" t="s">
        <v>115</v>
      </c>
      <c r="E211" s="10" t="s">
        <v>517</v>
      </c>
      <c r="F211" s="10" t="s">
        <v>555</v>
      </c>
      <c r="G211" s="14" t="n">
        <v>7</v>
      </c>
      <c r="H211" s="22" t="n">
        <f aca="false">INDEX(Products!$J$5:$J$93,MATCH(A211,Products!$A$5:$A$93,0))</f>
        <v>8000</v>
      </c>
      <c r="I211" s="12" t="n">
        <f aca="false">G211*H211</f>
        <v>56000</v>
      </c>
    </row>
    <row r="212" customFormat="false" ht="15" hidden="false" customHeight="false" outlineLevel="0" collapsed="false">
      <c r="A212" s="10" t="s">
        <v>292</v>
      </c>
      <c r="B212" s="10" t="s">
        <v>293</v>
      </c>
      <c r="C212" s="10" t="s">
        <v>118</v>
      </c>
      <c r="D212" s="10" t="s">
        <v>115</v>
      </c>
      <c r="E212" s="10" t="s">
        <v>524</v>
      </c>
      <c r="F212" s="10" t="s">
        <v>566</v>
      </c>
      <c r="G212" s="14" t="n">
        <v>5</v>
      </c>
      <c r="H212" s="22" t="n">
        <f aca="false">INDEX(Products!$J$5:$J$93,MATCH(A212,Products!$A$5:$A$93,0))</f>
        <v>8000</v>
      </c>
      <c r="I212" s="12" t="n">
        <f aca="false">G212*H212</f>
        <v>40000</v>
      </c>
    </row>
    <row r="213" customFormat="false" ht="15" hidden="false" customHeight="false" outlineLevel="0" collapsed="false">
      <c r="A213" s="10" t="s">
        <v>292</v>
      </c>
      <c r="B213" s="10" t="s">
        <v>293</v>
      </c>
      <c r="C213" s="10" t="s">
        <v>118</v>
      </c>
      <c r="D213" s="10" t="s">
        <v>115</v>
      </c>
      <c r="E213" s="10" t="s">
        <v>530</v>
      </c>
      <c r="F213" s="10" t="s">
        <v>570</v>
      </c>
      <c r="G213" s="14" t="n">
        <v>4</v>
      </c>
      <c r="H213" s="22" t="n">
        <f aca="false">INDEX(Products!$J$5:$J$93,MATCH(A213,Products!$A$5:$A$93,0))</f>
        <v>8000</v>
      </c>
      <c r="I213" s="12" t="n">
        <f aca="false">G213*H213</f>
        <v>32000</v>
      </c>
    </row>
    <row r="214" customFormat="false" ht="15" hidden="false" customHeight="false" outlineLevel="0" collapsed="false">
      <c r="A214" s="10" t="s">
        <v>292</v>
      </c>
      <c r="B214" s="10" t="s">
        <v>293</v>
      </c>
      <c r="C214" s="10" t="s">
        <v>118</v>
      </c>
      <c r="D214" s="10" t="s">
        <v>115</v>
      </c>
      <c r="E214" s="10" t="s">
        <v>533</v>
      </c>
      <c r="F214" s="10" t="s">
        <v>574</v>
      </c>
      <c r="G214" s="14" t="n">
        <v>3</v>
      </c>
      <c r="H214" s="22" t="n">
        <f aca="false">INDEX(Products!$J$5:$J$93,MATCH(A214,Products!$A$5:$A$93,0))</f>
        <v>8000</v>
      </c>
      <c r="I214" s="12" t="n">
        <f aca="false">G214*H214</f>
        <v>24000</v>
      </c>
    </row>
    <row r="215" customFormat="false" ht="15" hidden="false" customHeight="false" outlineLevel="0" collapsed="false">
      <c r="A215" s="10" t="s">
        <v>292</v>
      </c>
      <c r="B215" s="10" t="s">
        <v>293</v>
      </c>
      <c r="C215" s="10" t="s">
        <v>118</v>
      </c>
      <c r="D215" s="10" t="s">
        <v>115</v>
      </c>
      <c r="E215" s="10" t="s">
        <v>536</v>
      </c>
      <c r="F215" s="10" t="s">
        <v>578</v>
      </c>
      <c r="G215" s="14" t="n">
        <v>4</v>
      </c>
      <c r="H215" s="22" t="n">
        <f aca="false">INDEX(Products!$J$5:$J$93,MATCH(A215,Products!$A$5:$A$93,0))</f>
        <v>8000</v>
      </c>
      <c r="I215" s="12" t="n">
        <f aca="false">G215*H215</f>
        <v>32000</v>
      </c>
    </row>
    <row r="216" customFormat="false" ht="15" hidden="false" customHeight="false" outlineLevel="0" collapsed="false">
      <c r="A216" s="10" t="s">
        <v>295</v>
      </c>
      <c r="B216" s="10" t="s">
        <v>296</v>
      </c>
      <c r="C216" s="10" t="s">
        <v>118</v>
      </c>
      <c r="D216" s="10" t="s">
        <v>115</v>
      </c>
      <c r="E216" s="10" t="s">
        <v>517</v>
      </c>
      <c r="F216" s="10" t="s">
        <v>561</v>
      </c>
      <c r="G216" s="14" t="n">
        <v>2</v>
      </c>
      <c r="H216" s="22" t="n">
        <f aca="false">INDEX(Products!$J$5:$J$93,MATCH(A216,Products!$A$5:$A$93,0))</f>
        <v>5750</v>
      </c>
      <c r="I216" s="12" t="n">
        <f aca="false">G216*H216</f>
        <v>11500</v>
      </c>
    </row>
    <row r="217" customFormat="false" ht="15" hidden="false" customHeight="false" outlineLevel="0" collapsed="false">
      <c r="A217" s="10" t="s">
        <v>295</v>
      </c>
      <c r="B217" s="10" t="s">
        <v>296</v>
      </c>
      <c r="C217" s="10" t="s">
        <v>118</v>
      </c>
      <c r="D217" s="10" t="s">
        <v>115</v>
      </c>
      <c r="E217" s="10" t="s">
        <v>517</v>
      </c>
      <c r="F217" s="10" t="s">
        <v>555</v>
      </c>
      <c r="G217" s="14" t="n">
        <v>12</v>
      </c>
      <c r="H217" s="22" t="n">
        <f aca="false">INDEX(Products!$J$5:$J$93,MATCH(A217,Products!$A$5:$A$93,0))</f>
        <v>5750</v>
      </c>
      <c r="I217" s="12" t="n">
        <f aca="false">G217*H217</f>
        <v>69000</v>
      </c>
    </row>
    <row r="218" customFormat="false" ht="15" hidden="false" customHeight="false" outlineLevel="0" collapsed="false">
      <c r="A218" s="10" t="s">
        <v>295</v>
      </c>
      <c r="B218" s="10" t="s">
        <v>296</v>
      </c>
      <c r="C218" s="10" t="s">
        <v>118</v>
      </c>
      <c r="D218" s="10" t="s">
        <v>115</v>
      </c>
      <c r="E218" s="10" t="s">
        <v>524</v>
      </c>
      <c r="F218" s="10" t="s">
        <v>566</v>
      </c>
      <c r="G218" s="14" t="n">
        <v>8</v>
      </c>
      <c r="H218" s="22" t="n">
        <f aca="false">INDEX(Products!$J$5:$J$93,MATCH(A218,Products!$A$5:$A$93,0))</f>
        <v>5750</v>
      </c>
      <c r="I218" s="12" t="n">
        <f aca="false">G218*H218</f>
        <v>46000</v>
      </c>
    </row>
    <row r="219" customFormat="false" ht="15" hidden="false" customHeight="false" outlineLevel="0" collapsed="false">
      <c r="A219" s="10" t="s">
        <v>295</v>
      </c>
      <c r="B219" s="10" t="s">
        <v>296</v>
      </c>
      <c r="C219" s="10" t="s">
        <v>118</v>
      </c>
      <c r="D219" s="10" t="s">
        <v>115</v>
      </c>
      <c r="E219" s="10" t="s">
        <v>530</v>
      </c>
      <c r="F219" s="10" t="s">
        <v>570</v>
      </c>
      <c r="G219" s="14" t="n">
        <v>7</v>
      </c>
      <c r="H219" s="22" t="n">
        <f aca="false">INDEX(Products!$J$5:$J$93,MATCH(A219,Products!$A$5:$A$93,0))</f>
        <v>5750</v>
      </c>
      <c r="I219" s="12" t="n">
        <f aca="false">G219*H219</f>
        <v>40250</v>
      </c>
    </row>
    <row r="220" customFormat="false" ht="15" hidden="false" customHeight="false" outlineLevel="0" collapsed="false">
      <c r="A220" s="10" t="s">
        <v>295</v>
      </c>
      <c r="B220" s="10" t="s">
        <v>296</v>
      </c>
      <c r="C220" s="10" t="s">
        <v>118</v>
      </c>
      <c r="D220" s="10" t="s">
        <v>115</v>
      </c>
      <c r="E220" s="10" t="s">
        <v>533</v>
      </c>
      <c r="F220" s="10" t="s">
        <v>574</v>
      </c>
      <c r="G220" s="14" t="n">
        <v>5</v>
      </c>
      <c r="H220" s="22" t="n">
        <f aca="false">INDEX(Products!$J$5:$J$93,MATCH(A220,Products!$A$5:$A$93,0))</f>
        <v>5750</v>
      </c>
      <c r="I220" s="12" t="n">
        <f aca="false">G220*H220</f>
        <v>28750</v>
      </c>
    </row>
    <row r="221" customFormat="false" ht="15" hidden="false" customHeight="false" outlineLevel="0" collapsed="false">
      <c r="A221" s="10" t="s">
        <v>295</v>
      </c>
      <c r="B221" s="10" t="s">
        <v>296</v>
      </c>
      <c r="C221" s="10" t="s">
        <v>118</v>
      </c>
      <c r="D221" s="10" t="s">
        <v>115</v>
      </c>
      <c r="E221" s="10" t="s">
        <v>536</v>
      </c>
      <c r="F221" s="10" t="s">
        <v>578</v>
      </c>
      <c r="G221" s="14" t="n">
        <v>6</v>
      </c>
      <c r="H221" s="22" t="n">
        <f aca="false">INDEX(Products!$J$5:$J$93,MATCH(A221,Products!$A$5:$A$93,0))</f>
        <v>5750</v>
      </c>
      <c r="I221" s="12" t="n">
        <f aca="false">G221*H221</f>
        <v>34500</v>
      </c>
    </row>
    <row r="222" customFormat="false" ht="15" hidden="false" customHeight="false" outlineLevel="0" collapsed="false">
      <c r="A222" s="10" t="s">
        <v>298</v>
      </c>
      <c r="B222" s="10" t="s">
        <v>299</v>
      </c>
      <c r="C222" s="10" t="s">
        <v>126</v>
      </c>
      <c r="D222" s="10" t="s">
        <v>121</v>
      </c>
      <c r="E222" s="10" t="s">
        <v>517</v>
      </c>
      <c r="F222" s="10" t="s">
        <v>559</v>
      </c>
      <c r="G222" s="14" t="n">
        <v>120</v>
      </c>
      <c r="H222" s="22" t="n">
        <f aca="false">INDEX(Products!$J$5:$J$93,MATCH(A222,Products!$A$5:$A$93,0))</f>
        <v>856.5</v>
      </c>
      <c r="I222" s="12" t="n">
        <f aca="false">G222*H222</f>
        <v>102780</v>
      </c>
    </row>
    <row r="223" customFormat="false" ht="15" hidden="false" customHeight="false" outlineLevel="0" collapsed="false">
      <c r="A223" s="10" t="s">
        <v>303</v>
      </c>
      <c r="B223" s="10" t="s">
        <v>304</v>
      </c>
      <c r="C223" s="10" t="s">
        <v>127</v>
      </c>
      <c r="D223" s="10" t="s">
        <v>121</v>
      </c>
      <c r="E223" s="10" t="s">
        <v>517</v>
      </c>
      <c r="F223" s="10" t="s">
        <v>559</v>
      </c>
      <c r="G223" s="14" t="n">
        <v>200</v>
      </c>
      <c r="H223" s="22" t="n">
        <f aca="false">INDEX(Products!$J$5:$J$93,MATCH(A223,Products!$A$5:$A$93,0))</f>
        <v>204</v>
      </c>
      <c r="I223" s="12" t="n">
        <f aca="false">G223*H223</f>
        <v>40800</v>
      </c>
    </row>
    <row r="224" customFormat="false" ht="15" hidden="false" customHeight="false" outlineLevel="0" collapsed="false">
      <c r="A224" s="10" t="s">
        <v>306</v>
      </c>
      <c r="B224" s="10" t="s">
        <v>307</v>
      </c>
      <c r="C224" s="10" t="s">
        <v>128</v>
      </c>
      <c r="D224" s="10" t="s">
        <v>121</v>
      </c>
      <c r="E224" s="10" t="s">
        <v>517</v>
      </c>
      <c r="F224" s="10" t="s">
        <v>559</v>
      </c>
      <c r="G224" s="14" t="n">
        <v>85</v>
      </c>
      <c r="H224" s="22" t="n">
        <f aca="false">INDEX(Products!$J$5:$J$93,MATCH(A224,Products!$A$5:$A$93,0))</f>
        <v>1377</v>
      </c>
      <c r="I224" s="12" t="n">
        <f aca="false">G224*H224</f>
        <v>117045</v>
      </c>
    </row>
    <row r="225" customFormat="false" ht="15" hidden="false" customHeight="false" outlineLevel="0" collapsed="false">
      <c r="A225" s="10" t="s">
        <v>309</v>
      </c>
      <c r="B225" s="10" t="s">
        <v>310</v>
      </c>
      <c r="C225" s="10" t="s">
        <v>124</v>
      </c>
      <c r="D225" s="10" t="s">
        <v>121</v>
      </c>
      <c r="E225" s="10" t="s">
        <v>517</v>
      </c>
      <c r="F225" s="10" t="s">
        <v>559</v>
      </c>
      <c r="G225" s="14" t="n">
        <v>300</v>
      </c>
      <c r="H225" s="22" t="n">
        <f aca="false">INDEX(Products!$J$5:$J$93,MATCH(A225,Products!$A$5:$A$93,0))</f>
        <v>451</v>
      </c>
      <c r="I225" s="12" t="n">
        <f aca="false">G225*H225</f>
        <v>135300</v>
      </c>
    </row>
    <row r="226" customFormat="false" ht="15" hidden="false" customHeight="false" outlineLevel="0" collapsed="false">
      <c r="A226" s="10" t="s">
        <v>312</v>
      </c>
      <c r="B226" s="10" t="s">
        <v>313</v>
      </c>
      <c r="C226" s="10" t="s">
        <v>124</v>
      </c>
      <c r="D226" s="10" t="s">
        <v>121</v>
      </c>
      <c r="E226" s="10" t="s">
        <v>517</v>
      </c>
      <c r="F226" s="10" t="s">
        <v>559</v>
      </c>
      <c r="G226" s="14" t="n">
        <v>450</v>
      </c>
      <c r="H226" s="22" t="n">
        <f aca="false">INDEX(Products!$J$5:$J$93,MATCH(A226,Products!$A$5:$A$93,0))</f>
        <v>170.67</v>
      </c>
      <c r="I226" s="12" t="n">
        <f aca="false">G226*H226</f>
        <v>76801.5</v>
      </c>
    </row>
    <row r="227" customFormat="false" ht="15" hidden="false" customHeight="false" outlineLevel="0" collapsed="false">
      <c r="A227" s="10" t="s">
        <v>315</v>
      </c>
      <c r="B227" s="10" t="s">
        <v>316</v>
      </c>
      <c r="C227" s="10" t="s">
        <v>129</v>
      </c>
      <c r="D227" s="10" t="s">
        <v>121</v>
      </c>
      <c r="E227" s="10" t="s">
        <v>517</v>
      </c>
      <c r="F227" s="10" t="s">
        <v>559</v>
      </c>
      <c r="G227" s="14" t="n">
        <v>180</v>
      </c>
      <c r="H227" s="22" t="n">
        <f aca="false">INDEX(Products!$J$5:$J$93,MATCH(A227,Products!$A$5:$A$93,0))</f>
        <v>358</v>
      </c>
      <c r="I227" s="12" t="n">
        <f aca="false">G227*H227</f>
        <v>64440</v>
      </c>
    </row>
    <row r="228" customFormat="false" ht="15" hidden="false" customHeight="false" outlineLevel="0" collapsed="false">
      <c r="A228" s="10" t="s">
        <v>318</v>
      </c>
      <c r="B228" s="10" t="s">
        <v>319</v>
      </c>
      <c r="C228" s="10" t="s">
        <v>126</v>
      </c>
      <c r="D228" s="10" t="s">
        <v>121</v>
      </c>
      <c r="E228" s="10" t="s">
        <v>517</v>
      </c>
      <c r="F228" s="10" t="s">
        <v>559</v>
      </c>
      <c r="G228" s="14" t="n">
        <v>140</v>
      </c>
      <c r="H228" s="22" t="n">
        <f aca="false">INDEX(Products!$J$5:$J$93,MATCH(A228,Products!$A$5:$A$93,0))</f>
        <v>401.75</v>
      </c>
      <c r="I228" s="12" t="n">
        <f aca="false">G228*H228</f>
        <v>56245</v>
      </c>
    </row>
    <row r="229" customFormat="false" ht="15" hidden="false" customHeight="false" outlineLevel="0" collapsed="false">
      <c r="A229" s="10" t="s">
        <v>321</v>
      </c>
      <c r="B229" s="10" t="s">
        <v>322</v>
      </c>
      <c r="C229" s="10" t="s">
        <v>125</v>
      </c>
      <c r="D229" s="10" t="s">
        <v>121</v>
      </c>
      <c r="E229" s="10" t="s">
        <v>517</v>
      </c>
      <c r="F229" s="10" t="s">
        <v>559</v>
      </c>
      <c r="G229" s="14" t="n">
        <v>95</v>
      </c>
      <c r="H229" s="22" t="n">
        <f aca="false">INDEX(Products!$J$5:$J$93,MATCH(A229,Products!$A$5:$A$93,0))</f>
        <v>1071</v>
      </c>
      <c r="I229" s="12" t="n">
        <f aca="false">G229*H229</f>
        <v>101745</v>
      </c>
    </row>
    <row r="230" customFormat="false" ht="15" hidden="false" customHeight="false" outlineLevel="0" collapsed="false">
      <c r="A230" s="10" t="s">
        <v>324</v>
      </c>
      <c r="B230" s="10" t="s">
        <v>325</v>
      </c>
      <c r="C230" s="10" t="s">
        <v>128</v>
      </c>
      <c r="D230" s="10" t="s">
        <v>121</v>
      </c>
      <c r="E230" s="10" t="s">
        <v>517</v>
      </c>
      <c r="F230" s="10" t="s">
        <v>559</v>
      </c>
      <c r="G230" s="14" t="n">
        <v>110</v>
      </c>
      <c r="H230" s="22" t="n">
        <f aca="false">INDEX(Products!$J$5:$J$93,MATCH(A230,Products!$A$5:$A$93,0))</f>
        <v>630</v>
      </c>
      <c r="I230" s="12" t="n">
        <f aca="false">G230*H230</f>
        <v>69300</v>
      </c>
    </row>
    <row r="231" customFormat="false" ht="15" hidden="false" customHeight="false" outlineLevel="0" collapsed="false">
      <c r="A231" s="10" t="s">
        <v>327</v>
      </c>
      <c r="B231" s="10" t="s">
        <v>328</v>
      </c>
      <c r="C231" s="10" t="s">
        <v>125</v>
      </c>
      <c r="D231" s="10" t="s">
        <v>121</v>
      </c>
      <c r="E231" s="10" t="s">
        <v>517</v>
      </c>
      <c r="F231" s="10" t="s">
        <v>559</v>
      </c>
      <c r="G231" s="14" t="n">
        <v>250</v>
      </c>
      <c r="H231" s="22" t="n">
        <f aca="false">INDEX(Products!$J$5:$J$93,MATCH(A231,Products!$A$5:$A$93,0))</f>
        <v>234</v>
      </c>
      <c r="I231" s="12" t="n">
        <f aca="false">G231*H231</f>
        <v>58500</v>
      </c>
    </row>
    <row r="232" customFormat="false" ht="15" hidden="false" customHeight="false" outlineLevel="0" collapsed="false">
      <c r="A232" s="10" t="s">
        <v>330</v>
      </c>
      <c r="B232" s="10" t="s">
        <v>331</v>
      </c>
      <c r="C232" s="10" t="s">
        <v>130</v>
      </c>
      <c r="D232" s="10" t="s">
        <v>121</v>
      </c>
      <c r="E232" s="10" t="s">
        <v>517</v>
      </c>
      <c r="F232" s="10" t="s">
        <v>559</v>
      </c>
      <c r="G232" s="14" t="n">
        <v>60</v>
      </c>
      <c r="H232" s="22" t="n">
        <f aca="false">INDEX(Products!$J$5:$J$93,MATCH(A232,Products!$A$5:$A$93,0))</f>
        <v>1733.25</v>
      </c>
      <c r="I232" s="12" t="n">
        <f aca="false">G232*H232</f>
        <v>103995</v>
      </c>
    </row>
    <row r="233" customFormat="false" ht="15" hidden="false" customHeight="false" outlineLevel="0" collapsed="false">
      <c r="A233" s="10" t="s">
        <v>333</v>
      </c>
      <c r="B233" s="10" t="s">
        <v>334</v>
      </c>
      <c r="C233" s="10" t="s">
        <v>134</v>
      </c>
      <c r="D233" s="10" t="s">
        <v>133</v>
      </c>
      <c r="E233" s="10" t="s">
        <v>517</v>
      </c>
      <c r="F233" s="10" t="s">
        <v>557</v>
      </c>
      <c r="G233" s="14" t="n">
        <v>600</v>
      </c>
      <c r="H233" s="22" t="n">
        <f aca="false">INDEX(Products!$J$5:$J$93,MATCH(A233,Products!$A$5:$A$93,0))</f>
        <v>66</v>
      </c>
      <c r="I233" s="12" t="n">
        <f aca="false">G233*H233</f>
        <v>39600</v>
      </c>
    </row>
    <row r="234" customFormat="false" ht="15" hidden="false" customHeight="false" outlineLevel="0" collapsed="false">
      <c r="A234" s="10" t="s">
        <v>337</v>
      </c>
      <c r="B234" s="10" t="s">
        <v>338</v>
      </c>
      <c r="C234" s="10" t="s">
        <v>134</v>
      </c>
      <c r="D234" s="10" t="s">
        <v>133</v>
      </c>
      <c r="E234" s="10" t="s">
        <v>517</v>
      </c>
      <c r="F234" s="10" t="s">
        <v>557</v>
      </c>
      <c r="G234" s="14" t="n">
        <v>300</v>
      </c>
      <c r="H234" s="22" t="n">
        <f aca="false">INDEX(Products!$J$5:$J$93,MATCH(A234,Products!$A$5:$A$93,0))</f>
        <v>192.5</v>
      </c>
      <c r="I234" s="12" t="n">
        <f aca="false">G234*H234</f>
        <v>57750</v>
      </c>
    </row>
    <row r="235" customFormat="false" ht="15" hidden="false" customHeight="false" outlineLevel="0" collapsed="false">
      <c r="A235" s="10" t="s">
        <v>339</v>
      </c>
      <c r="B235" s="10" t="s">
        <v>340</v>
      </c>
      <c r="C235" s="10" t="s">
        <v>134</v>
      </c>
      <c r="D235" s="10" t="s">
        <v>133</v>
      </c>
      <c r="E235" s="10" t="s">
        <v>517</v>
      </c>
      <c r="F235" s="10" t="s">
        <v>557</v>
      </c>
      <c r="G235" s="14" t="n">
        <v>200</v>
      </c>
      <c r="H235" s="22" t="n">
        <f aca="false">INDEX(Products!$J$5:$J$93,MATCH(A235,Products!$A$5:$A$93,0))</f>
        <v>374</v>
      </c>
      <c r="I235" s="12" t="n">
        <f aca="false">G235*H235</f>
        <v>74800</v>
      </c>
    </row>
    <row r="236" customFormat="false" ht="15" hidden="false" customHeight="false" outlineLevel="0" collapsed="false">
      <c r="A236" s="10" t="s">
        <v>341</v>
      </c>
      <c r="B236" s="10" t="s">
        <v>342</v>
      </c>
      <c r="C236" s="10" t="s">
        <v>134</v>
      </c>
      <c r="D236" s="10" t="s">
        <v>133</v>
      </c>
      <c r="E236" s="10" t="s">
        <v>517</v>
      </c>
      <c r="F236" s="10" t="s">
        <v>557</v>
      </c>
      <c r="G236" s="14" t="n">
        <v>800</v>
      </c>
      <c r="H236" s="22" t="n">
        <f aca="false">INDEX(Products!$J$5:$J$93,MATCH(A236,Products!$A$5:$A$93,0))</f>
        <v>49.5</v>
      </c>
      <c r="I236" s="12" t="n">
        <f aca="false">G236*H236</f>
        <v>39600</v>
      </c>
    </row>
    <row r="237" customFormat="false" ht="15" hidden="false" customHeight="false" outlineLevel="0" collapsed="false">
      <c r="A237" s="10" t="s">
        <v>343</v>
      </c>
      <c r="B237" s="10" t="s">
        <v>344</v>
      </c>
      <c r="C237" s="10" t="s">
        <v>134</v>
      </c>
      <c r="D237" s="10" t="s">
        <v>133</v>
      </c>
      <c r="E237" s="10" t="s">
        <v>517</v>
      </c>
      <c r="F237" s="10" t="s">
        <v>557</v>
      </c>
      <c r="G237" s="14" t="n">
        <v>300</v>
      </c>
      <c r="H237" s="22" t="n">
        <f aca="false">INDEX(Products!$J$5:$J$93,MATCH(A237,Products!$A$5:$A$93,0))</f>
        <v>88</v>
      </c>
      <c r="I237" s="12" t="n">
        <f aca="false">G237*H237</f>
        <v>26400</v>
      </c>
    </row>
    <row r="238" customFormat="false" ht="15" hidden="false" customHeight="false" outlineLevel="0" collapsed="false">
      <c r="A238" s="10" t="s">
        <v>345</v>
      </c>
      <c r="B238" s="10" t="s">
        <v>346</v>
      </c>
      <c r="C238" s="10" t="s">
        <v>134</v>
      </c>
      <c r="D238" s="10" t="s">
        <v>133</v>
      </c>
      <c r="E238" s="10" t="s">
        <v>517</v>
      </c>
      <c r="F238" s="10" t="s">
        <v>557</v>
      </c>
      <c r="G238" s="14" t="n">
        <v>500</v>
      </c>
      <c r="H238" s="22" t="n">
        <f aca="false">INDEX(Products!$J$5:$J$93,MATCH(A238,Products!$A$5:$A$93,0))</f>
        <v>19.25</v>
      </c>
      <c r="I238" s="12" t="n">
        <f aca="false">G238*H238</f>
        <v>9625</v>
      </c>
    </row>
    <row r="239" customFormat="false" ht="15" hidden="false" customHeight="false" outlineLevel="0" collapsed="false">
      <c r="A239" s="10" t="s">
        <v>347</v>
      </c>
      <c r="B239" s="10" t="s">
        <v>348</v>
      </c>
      <c r="C239" s="10" t="s">
        <v>134</v>
      </c>
      <c r="D239" s="10" t="s">
        <v>133</v>
      </c>
      <c r="E239" s="10" t="s">
        <v>517</v>
      </c>
      <c r="F239" s="10" t="s">
        <v>557</v>
      </c>
      <c r="G239" s="14" t="n">
        <v>300</v>
      </c>
      <c r="H239" s="22" t="n">
        <f aca="false">INDEX(Products!$J$5:$J$93,MATCH(A239,Products!$A$5:$A$93,0))</f>
        <v>44</v>
      </c>
      <c r="I239" s="12" t="n">
        <f aca="false">G239*H239</f>
        <v>13200</v>
      </c>
    </row>
    <row r="240" customFormat="false" ht="15" hidden="false" customHeight="false" outlineLevel="0" collapsed="false">
      <c r="A240" s="10" t="s">
        <v>349</v>
      </c>
      <c r="B240" s="10" t="s">
        <v>350</v>
      </c>
      <c r="C240" s="10" t="s">
        <v>135</v>
      </c>
      <c r="D240" s="10" t="s">
        <v>133</v>
      </c>
      <c r="E240" s="10" t="s">
        <v>517</v>
      </c>
      <c r="F240" s="10" t="s">
        <v>557</v>
      </c>
      <c r="G240" s="14" t="n">
        <v>200</v>
      </c>
      <c r="H240" s="22" t="n">
        <f aca="false">INDEX(Products!$J$5:$J$93,MATCH(A240,Products!$A$5:$A$93,0))</f>
        <v>522.5</v>
      </c>
      <c r="I240" s="12" t="n">
        <f aca="false">G240*H240</f>
        <v>104500</v>
      </c>
    </row>
    <row r="241" customFormat="false" ht="15" hidden="false" customHeight="false" outlineLevel="0" collapsed="false">
      <c r="A241" s="10" t="s">
        <v>352</v>
      </c>
      <c r="B241" s="10" t="s">
        <v>353</v>
      </c>
      <c r="C241" s="10" t="s">
        <v>135</v>
      </c>
      <c r="D241" s="10" t="s">
        <v>133</v>
      </c>
      <c r="E241" s="10" t="s">
        <v>517</v>
      </c>
      <c r="F241" s="10" t="s">
        <v>557</v>
      </c>
      <c r="G241" s="14" t="n">
        <v>200</v>
      </c>
      <c r="H241" s="22" t="n">
        <f aca="false">INDEX(Products!$J$5:$J$93,MATCH(A241,Products!$A$5:$A$93,0))</f>
        <v>77</v>
      </c>
      <c r="I241" s="12" t="n">
        <f aca="false">G241*H241</f>
        <v>15400</v>
      </c>
    </row>
    <row r="242" customFormat="false" ht="15" hidden="false" customHeight="false" outlineLevel="0" collapsed="false">
      <c r="A242" s="10" t="s">
        <v>354</v>
      </c>
      <c r="B242" s="10" t="s">
        <v>355</v>
      </c>
      <c r="C242" s="10" t="s">
        <v>135</v>
      </c>
      <c r="D242" s="10" t="s">
        <v>133</v>
      </c>
      <c r="E242" s="10" t="s">
        <v>517</v>
      </c>
      <c r="F242" s="10" t="s">
        <v>557</v>
      </c>
      <c r="G242" s="14" t="n">
        <v>200</v>
      </c>
      <c r="H242" s="22" t="n">
        <f aca="false">INDEX(Products!$J$5:$J$93,MATCH(A242,Products!$A$5:$A$93,0))</f>
        <v>115.5</v>
      </c>
      <c r="I242" s="12" t="n">
        <f aca="false">G242*H242</f>
        <v>23100</v>
      </c>
    </row>
    <row r="243" customFormat="false" ht="15" hidden="false" customHeight="false" outlineLevel="0" collapsed="false">
      <c r="A243" s="10" t="s">
        <v>356</v>
      </c>
      <c r="B243" s="10" t="s">
        <v>357</v>
      </c>
      <c r="C243" s="10" t="s">
        <v>135</v>
      </c>
      <c r="D243" s="10" t="s">
        <v>133</v>
      </c>
      <c r="E243" s="10" t="s">
        <v>517</v>
      </c>
      <c r="F243" s="10" t="s">
        <v>557</v>
      </c>
      <c r="G243" s="14" t="n">
        <v>200</v>
      </c>
      <c r="H243" s="22" t="n">
        <f aca="false">INDEX(Products!$J$5:$J$93,MATCH(A243,Products!$A$5:$A$93,0))</f>
        <v>71.5</v>
      </c>
      <c r="I243" s="12" t="n">
        <f aca="false">G243*H243</f>
        <v>14300</v>
      </c>
    </row>
    <row r="244" customFormat="false" ht="15" hidden="false" customHeight="false" outlineLevel="0" collapsed="false">
      <c r="A244" s="10" t="s">
        <v>358</v>
      </c>
      <c r="B244" s="10" t="s">
        <v>359</v>
      </c>
      <c r="C244" s="10" t="s">
        <v>136</v>
      </c>
      <c r="D244" s="10" t="s">
        <v>133</v>
      </c>
      <c r="E244" s="10" t="s">
        <v>517</v>
      </c>
      <c r="F244" s="10" t="s">
        <v>557</v>
      </c>
      <c r="G244" s="14" t="n">
        <v>2500</v>
      </c>
      <c r="H244" s="22" t="n">
        <f aca="false">INDEX(Products!$J$5:$J$93,MATCH(A244,Products!$A$5:$A$93,0))</f>
        <v>70</v>
      </c>
      <c r="I244" s="12" t="n">
        <f aca="false">G244*H244</f>
        <v>175000</v>
      </c>
    </row>
    <row r="245" customFormat="false" ht="15" hidden="false" customHeight="false" outlineLevel="0" collapsed="false">
      <c r="A245" s="10" t="s">
        <v>361</v>
      </c>
      <c r="B245" s="10" t="s">
        <v>362</v>
      </c>
      <c r="C245" s="10" t="s">
        <v>136</v>
      </c>
      <c r="D245" s="10" t="s">
        <v>133</v>
      </c>
      <c r="E245" s="10" t="s">
        <v>517</v>
      </c>
      <c r="F245" s="10" t="s">
        <v>557</v>
      </c>
      <c r="G245" s="14" t="n">
        <v>600</v>
      </c>
      <c r="H245" s="22" t="n">
        <f aca="false">INDEX(Products!$J$5:$J$93,MATCH(A245,Products!$A$5:$A$93,0))</f>
        <v>180</v>
      </c>
      <c r="I245" s="12" t="n">
        <f aca="false">G245*H245</f>
        <v>108000</v>
      </c>
    </row>
    <row r="246" customFormat="false" ht="15" hidden="false" customHeight="false" outlineLevel="0" collapsed="false">
      <c r="A246" s="10" t="s">
        <v>363</v>
      </c>
      <c r="B246" s="10" t="s">
        <v>364</v>
      </c>
      <c r="C246" s="10" t="s">
        <v>136</v>
      </c>
      <c r="D246" s="10" t="s">
        <v>133</v>
      </c>
      <c r="E246" s="10" t="s">
        <v>517</v>
      </c>
      <c r="F246" s="10" t="s">
        <v>557</v>
      </c>
      <c r="G246" s="14" t="n">
        <v>300</v>
      </c>
      <c r="H246" s="22" t="n">
        <f aca="false">INDEX(Products!$J$5:$J$93,MATCH(A246,Products!$A$5:$A$93,0))</f>
        <v>220</v>
      </c>
      <c r="I246" s="12" t="n">
        <f aca="false">G246*H246</f>
        <v>66000</v>
      </c>
    </row>
    <row r="247" customFormat="false" ht="15" hidden="false" customHeight="false" outlineLevel="0" collapsed="false">
      <c r="A247" s="10" t="s">
        <v>365</v>
      </c>
      <c r="B247" s="10" t="s">
        <v>366</v>
      </c>
      <c r="C247" s="10" t="s">
        <v>136</v>
      </c>
      <c r="D247" s="10" t="s">
        <v>133</v>
      </c>
      <c r="E247" s="10" t="s">
        <v>517</v>
      </c>
      <c r="F247" s="10" t="s">
        <v>557</v>
      </c>
      <c r="G247" s="14" t="n">
        <v>200</v>
      </c>
      <c r="H247" s="22" t="n">
        <f aca="false">INDEX(Products!$J$5:$J$93,MATCH(A247,Products!$A$5:$A$93,0))</f>
        <v>95</v>
      </c>
      <c r="I247" s="12" t="n">
        <f aca="false">G247*H247</f>
        <v>19000</v>
      </c>
    </row>
    <row r="248" customFormat="false" ht="15" hidden="false" customHeight="false" outlineLevel="0" collapsed="false">
      <c r="A248" s="10" t="s">
        <v>367</v>
      </c>
      <c r="B248" s="10" t="s">
        <v>368</v>
      </c>
      <c r="C248" s="10" t="s">
        <v>137</v>
      </c>
      <c r="D248" s="10" t="s">
        <v>133</v>
      </c>
      <c r="E248" s="10" t="s">
        <v>517</v>
      </c>
      <c r="F248" s="10" t="s">
        <v>557</v>
      </c>
      <c r="G248" s="14" t="n">
        <v>800</v>
      </c>
      <c r="H248" s="22" t="n">
        <f aca="false">INDEX(Products!$J$5:$J$93,MATCH(A248,Products!$A$5:$A$93,0))</f>
        <v>120</v>
      </c>
      <c r="I248" s="12" t="n">
        <f aca="false">G248*H248</f>
        <v>96000</v>
      </c>
    </row>
    <row r="249" customFormat="false" ht="15" hidden="false" customHeight="false" outlineLevel="0" collapsed="false">
      <c r="A249" s="10" t="s">
        <v>370</v>
      </c>
      <c r="B249" s="10" t="s">
        <v>371</v>
      </c>
      <c r="C249" s="10" t="s">
        <v>137</v>
      </c>
      <c r="D249" s="10" t="s">
        <v>133</v>
      </c>
      <c r="E249" s="10" t="s">
        <v>517</v>
      </c>
      <c r="F249" s="10" t="s">
        <v>557</v>
      </c>
      <c r="G249" s="14" t="n">
        <v>200</v>
      </c>
      <c r="H249" s="22" t="n">
        <f aca="false">INDEX(Products!$J$5:$J$93,MATCH(A249,Products!$A$5:$A$93,0))</f>
        <v>110</v>
      </c>
      <c r="I249" s="12" t="n">
        <f aca="false">G249*H249</f>
        <v>22000</v>
      </c>
    </row>
    <row r="250" customFormat="false" ht="15" hidden="false" customHeight="false" outlineLevel="0" collapsed="false">
      <c r="A250" s="10" t="s">
        <v>372</v>
      </c>
      <c r="B250" s="10" t="s">
        <v>373</v>
      </c>
      <c r="C250" s="10" t="s">
        <v>137</v>
      </c>
      <c r="D250" s="10" t="s">
        <v>133</v>
      </c>
      <c r="E250" s="10" t="s">
        <v>517</v>
      </c>
      <c r="F250" s="10" t="s">
        <v>557</v>
      </c>
      <c r="G250" s="14" t="n">
        <v>300</v>
      </c>
      <c r="H250" s="22" t="n">
        <f aca="false">INDEX(Products!$J$5:$J$93,MATCH(A250,Products!$A$5:$A$93,0))</f>
        <v>45</v>
      </c>
      <c r="I250" s="12" t="n">
        <f aca="false">G250*H250</f>
        <v>13500</v>
      </c>
    </row>
    <row r="251" customFormat="false" ht="15" hidden="false" customHeight="false" outlineLevel="0" collapsed="false">
      <c r="A251" s="10" t="s">
        <v>374</v>
      </c>
      <c r="B251" s="10" t="s">
        <v>375</v>
      </c>
      <c r="C251" s="10" t="s">
        <v>137</v>
      </c>
      <c r="D251" s="10" t="s">
        <v>133</v>
      </c>
      <c r="E251" s="10" t="s">
        <v>517</v>
      </c>
      <c r="F251" s="10" t="s">
        <v>557</v>
      </c>
      <c r="G251" s="14" t="n">
        <v>1800</v>
      </c>
      <c r="H251" s="22" t="n">
        <f aca="false">INDEX(Products!$J$5:$J$93,MATCH(A251,Products!$A$5:$A$93,0))</f>
        <v>18</v>
      </c>
      <c r="I251" s="12" t="n">
        <f aca="false">G251*H251</f>
        <v>32400</v>
      </c>
    </row>
    <row r="252" customFormat="false" ht="15" hidden="false" customHeight="false" outlineLevel="0" collapsed="false">
      <c r="A252" s="10" t="s">
        <v>376</v>
      </c>
      <c r="B252" s="10" t="s">
        <v>377</v>
      </c>
      <c r="C252" s="10" t="s">
        <v>137</v>
      </c>
      <c r="D252" s="10" t="s">
        <v>133</v>
      </c>
      <c r="E252" s="10" t="s">
        <v>517</v>
      </c>
      <c r="F252" s="10" t="s">
        <v>557</v>
      </c>
      <c r="G252" s="14" t="n">
        <v>300</v>
      </c>
      <c r="H252" s="22" t="n">
        <f aca="false">INDEX(Products!$J$5:$J$93,MATCH(A252,Products!$A$5:$A$93,0))</f>
        <v>60</v>
      </c>
      <c r="I252" s="12" t="n">
        <f aca="false">G252*H252</f>
        <v>18000</v>
      </c>
    </row>
    <row r="253" customFormat="false" ht="15" hidden="false" customHeight="false" outlineLevel="0" collapsed="false">
      <c r="A253" s="10" t="s">
        <v>378</v>
      </c>
      <c r="B253" s="10" t="s">
        <v>379</v>
      </c>
      <c r="C253" s="10" t="s">
        <v>137</v>
      </c>
      <c r="D253" s="10" t="s">
        <v>133</v>
      </c>
      <c r="E253" s="10" t="s">
        <v>517</v>
      </c>
      <c r="F253" s="10" t="s">
        <v>557</v>
      </c>
      <c r="G253" s="14" t="n">
        <v>300</v>
      </c>
      <c r="H253" s="22" t="n">
        <f aca="false">INDEX(Products!$J$5:$J$93,MATCH(A253,Products!$A$5:$A$93,0))</f>
        <v>85</v>
      </c>
      <c r="I253" s="12" t="n">
        <f aca="false">G253*H253</f>
        <v>25500</v>
      </c>
    </row>
    <row r="254" customFormat="false" ht="15" hidden="false" customHeight="false" outlineLevel="0" collapsed="false">
      <c r="A254" s="10" t="s">
        <v>380</v>
      </c>
      <c r="B254" s="10" t="s">
        <v>381</v>
      </c>
      <c r="C254" s="10" t="s">
        <v>137</v>
      </c>
      <c r="D254" s="10" t="s">
        <v>133</v>
      </c>
      <c r="E254" s="10" t="s">
        <v>517</v>
      </c>
      <c r="F254" s="10" t="s">
        <v>557</v>
      </c>
      <c r="G254" s="14" t="n">
        <v>500</v>
      </c>
      <c r="H254" s="22" t="n">
        <f aca="false">INDEX(Products!$J$5:$J$93,MATCH(A254,Products!$A$5:$A$93,0))</f>
        <v>70</v>
      </c>
      <c r="I254" s="12" t="n">
        <f aca="false">G254*H254</f>
        <v>35000</v>
      </c>
    </row>
    <row r="255" customFormat="false" ht="15" hidden="false" customHeight="false" outlineLevel="0" collapsed="false">
      <c r="A255" s="10" t="s">
        <v>382</v>
      </c>
      <c r="B255" s="10" t="s">
        <v>383</v>
      </c>
      <c r="C255" s="10" t="s">
        <v>138</v>
      </c>
      <c r="D255" s="10" t="s">
        <v>133</v>
      </c>
      <c r="E255" s="10" t="s">
        <v>517</v>
      </c>
      <c r="F255" s="10" t="s">
        <v>557</v>
      </c>
      <c r="G255" s="14" t="n">
        <v>4000</v>
      </c>
      <c r="H255" s="22" t="n">
        <f aca="false">INDEX(Products!$J$5:$J$93,MATCH(A255,Products!$A$5:$A$93,0))</f>
        <v>14</v>
      </c>
      <c r="I255" s="12" t="n">
        <f aca="false">G255*H255</f>
        <v>56000</v>
      </c>
    </row>
    <row r="256" customFormat="false" ht="15" hidden="false" customHeight="false" outlineLevel="0" collapsed="false">
      <c r="A256" s="10" t="s">
        <v>385</v>
      </c>
      <c r="B256" s="10" t="s">
        <v>386</v>
      </c>
      <c r="C256" s="10" t="s">
        <v>138</v>
      </c>
      <c r="D256" s="10" t="s">
        <v>133</v>
      </c>
      <c r="E256" s="10" t="s">
        <v>517</v>
      </c>
      <c r="F256" s="10" t="s">
        <v>557</v>
      </c>
      <c r="G256" s="14" t="n">
        <v>600</v>
      </c>
      <c r="H256" s="22" t="n">
        <f aca="false">INDEX(Products!$J$5:$J$93,MATCH(A256,Products!$A$5:$A$93,0))</f>
        <v>38</v>
      </c>
      <c r="I256" s="12" t="n">
        <f aca="false">G256*H256</f>
        <v>22800</v>
      </c>
    </row>
    <row r="257" customFormat="false" ht="15" hidden="false" customHeight="false" outlineLevel="0" collapsed="false">
      <c r="A257" s="10" t="s">
        <v>387</v>
      </c>
      <c r="B257" s="10" t="s">
        <v>388</v>
      </c>
      <c r="C257" s="10" t="s">
        <v>138</v>
      </c>
      <c r="D257" s="10" t="s">
        <v>133</v>
      </c>
      <c r="E257" s="10" t="s">
        <v>517</v>
      </c>
      <c r="F257" s="10" t="s">
        <v>557</v>
      </c>
      <c r="G257" s="14" t="n">
        <v>500</v>
      </c>
      <c r="H257" s="22" t="n">
        <f aca="false">INDEX(Products!$J$5:$J$93,MATCH(A257,Products!$A$5:$A$93,0))</f>
        <v>25</v>
      </c>
      <c r="I257" s="12" t="n">
        <f aca="false">G257*H257</f>
        <v>12500</v>
      </c>
    </row>
    <row r="258" customFormat="false" ht="15" hidden="false" customHeight="false" outlineLevel="0" collapsed="false">
      <c r="A258" s="10" t="s">
        <v>389</v>
      </c>
      <c r="B258" s="10" t="s">
        <v>390</v>
      </c>
      <c r="C258" s="10" t="s">
        <v>138</v>
      </c>
      <c r="D258" s="10" t="s">
        <v>133</v>
      </c>
      <c r="E258" s="10" t="s">
        <v>517</v>
      </c>
      <c r="F258" s="10" t="s">
        <v>557</v>
      </c>
      <c r="G258" s="14" t="n">
        <v>1200</v>
      </c>
      <c r="H258" s="22" t="n">
        <f aca="false">INDEX(Products!$J$5:$J$93,MATCH(A258,Products!$A$5:$A$93,0))</f>
        <v>160</v>
      </c>
      <c r="I258" s="12" t="n">
        <f aca="false">G258*H258</f>
        <v>192000</v>
      </c>
    </row>
    <row r="259" customFormat="false" ht="15" hidden="false" customHeight="false" outlineLevel="0" collapsed="false">
      <c r="A259" s="10" t="s">
        <v>391</v>
      </c>
      <c r="B259" s="10" t="s">
        <v>392</v>
      </c>
      <c r="C259" s="10" t="s">
        <v>136</v>
      </c>
      <c r="D259" s="10" t="s">
        <v>133</v>
      </c>
      <c r="E259" s="10" t="s">
        <v>517</v>
      </c>
      <c r="F259" s="10" t="s">
        <v>557</v>
      </c>
      <c r="G259" s="14" t="n">
        <v>300</v>
      </c>
      <c r="H259" s="22" t="n">
        <f aca="false">INDEX(Products!$J$5:$J$93,MATCH(A259,Products!$A$5:$A$93,0))</f>
        <v>210</v>
      </c>
      <c r="I259" s="12" t="n">
        <f aca="false">G259*H259</f>
        <v>63000</v>
      </c>
    </row>
    <row r="260" customFormat="false" ht="15" hidden="false" customHeight="false" outlineLevel="0" collapsed="false">
      <c r="A260" s="10" t="s">
        <v>393</v>
      </c>
      <c r="B260" s="10" t="s">
        <v>394</v>
      </c>
      <c r="C260" s="10" t="s">
        <v>138</v>
      </c>
      <c r="D260" s="10" t="s">
        <v>133</v>
      </c>
      <c r="E260" s="10" t="s">
        <v>517</v>
      </c>
      <c r="F260" s="10" t="s">
        <v>557</v>
      </c>
      <c r="G260" s="14" t="n">
        <v>20</v>
      </c>
      <c r="H260" s="22" t="n">
        <f aca="false">INDEX(Products!$J$5:$J$93,MATCH(A260,Products!$A$5:$A$93,0))</f>
        <v>900</v>
      </c>
      <c r="I260" s="12" t="n">
        <f aca="false">G260*H260</f>
        <v>18000</v>
      </c>
    </row>
    <row r="261" customFormat="false" ht="15" hidden="false" customHeight="false" outlineLevel="0" collapsed="false">
      <c r="A261" s="10" t="s">
        <v>395</v>
      </c>
      <c r="B261" s="10" t="s">
        <v>396</v>
      </c>
      <c r="C261" s="10" t="s">
        <v>139</v>
      </c>
      <c r="D261" s="10" t="s">
        <v>133</v>
      </c>
      <c r="E261" s="10" t="s">
        <v>517</v>
      </c>
      <c r="F261" s="10" t="s">
        <v>557</v>
      </c>
      <c r="G261" s="14" t="n">
        <v>250</v>
      </c>
      <c r="H261" s="22" t="n">
        <f aca="false">INDEX(Products!$J$5:$J$93,MATCH(A261,Products!$A$5:$A$93,0))</f>
        <v>45</v>
      </c>
      <c r="I261" s="12" t="n">
        <f aca="false">G261*H261</f>
        <v>11250</v>
      </c>
    </row>
    <row r="262" customFormat="false" ht="15" hidden="false" customHeight="false" outlineLevel="0" collapsed="false">
      <c r="A262" s="10" t="s">
        <v>398</v>
      </c>
      <c r="B262" s="10" t="s">
        <v>399</v>
      </c>
      <c r="C262" s="10" t="s">
        <v>139</v>
      </c>
      <c r="D262" s="10" t="s">
        <v>133</v>
      </c>
      <c r="E262" s="10" t="s">
        <v>517</v>
      </c>
      <c r="F262" s="10" t="s">
        <v>557</v>
      </c>
      <c r="G262" s="14" t="n">
        <v>800</v>
      </c>
      <c r="H262" s="22" t="n">
        <f aca="false">INDEX(Products!$J$5:$J$93,MATCH(A262,Products!$A$5:$A$93,0))</f>
        <v>12</v>
      </c>
      <c r="I262" s="12" t="n">
        <f aca="false">G262*H262</f>
        <v>9600</v>
      </c>
    </row>
    <row r="263" customFormat="false" ht="15" hidden="false" customHeight="false" outlineLevel="0" collapsed="false">
      <c r="A263" s="10" t="s">
        <v>400</v>
      </c>
      <c r="B263" s="10" t="s">
        <v>401</v>
      </c>
      <c r="C263" s="10" t="s">
        <v>139</v>
      </c>
      <c r="D263" s="10" t="s">
        <v>133</v>
      </c>
      <c r="E263" s="10" t="s">
        <v>517</v>
      </c>
      <c r="F263" s="10" t="s">
        <v>557</v>
      </c>
      <c r="G263" s="14" t="n">
        <v>1500</v>
      </c>
      <c r="H263" s="22" t="n">
        <f aca="false">INDEX(Products!$J$5:$J$93,MATCH(A263,Products!$A$5:$A$93,0))</f>
        <v>15</v>
      </c>
      <c r="I263" s="12" t="n">
        <f aca="false">G263*H263</f>
        <v>22500</v>
      </c>
    </row>
    <row r="264" customFormat="false" ht="15" hidden="false" customHeight="false" outlineLevel="0" collapsed="false">
      <c r="A264" s="10" t="s">
        <v>402</v>
      </c>
      <c r="B264" s="10" t="s">
        <v>403</v>
      </c>
      <c r="C264" s="10" t="s">
        <v>139</v>
      </c>
      <c r="D264" s="10" t="s">
        <v>133</v>
      </c>
      <c r="E264" s="10" t="s">
        <v>517</v>
      </c>
      <c r="F264" s="10" t="s">
        <v>557</v>
      </c>
      <c r="G264" s="14" t="n">
        <v>500</v>
      </c>
      <c r="H264" s="22" t="n">
        <f aca="false">INDEX(Products!$J$5:$J$93,MATCH(A264,Products!$A$5:$A$93,0))</f>
        <v>4</v>
      </c>
      <c r="I264" s="12" t="n">
        <f aca="false">G264*H264</f>
        <v>2000</v>
      </c>
    </row>
    <row r="265" customFormat="false" ht="15" hidden="false" customHeight="false" outlineLevel="0" collapsed="false">
      <c r="A265" s="15" t="s">
        <v>417</v>
      </c>
      <c r="B265" s="16"/>
      <c r="C265" s="16"/>
      <c r="D265" s="16"/>
      <c r="E265" s="16"/>
      <c r="F265" s="16"/>
      <c r="G265" s="17" t="n">
        <f aca="false">SUM(G5:G264)</f>
        <v>24746</v>
      </c>
      <c r="H265" s="16"/>
      <c r="I265" s="18" t="n">
        <f aca="false">SUM(I5:I264)</f>
        <v>20424776.5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10" min="3" style="0" width="14"/>
  </cols>
  <sheetData>
    <row r="1" customFormat="false" ht="16.15" hidden="false" customHeight="false" outlineLevel="0" collapsed="false">
      <c r="A1" s="8" t="s">
        <v>584</v>
      </c>
    </row>
    <row r="2" customFormat="false" ht="15" hidden="false" customHeight="false" outlineLevel="0" collapsed="false">
      <c r="A2" s="2" t="s">
        <v>585</v>
      </c>
    </row>
    <row r="4" customFormat="false" ht="15" hidden="false" customHeight="false" outlineLevel="0" collapsed="false">
      <c r="A4" s="9" t="s">
        <v>148</v>
      </c>
      <c r="B4" s="9" t="s">
        <v>149</v>
      </c>
      <c r="C4" s="9" t="s">
        <v>517</v>
      </c>
      <c r="D4" s="9" t="s">
        <v>524</v>
      </c>
      <c r="E4" s="9" t="s">
        <v>530</v>
      </c>
      <c r="F4" s="9" t="s">
        <v>533</v>
      </c>
      <c r="G4" s="9" t="s">
        <v>536</v>
      </c>
      <c r="H4" s="9" t="s">
        <v>586</v>
      </c>
      <c r="I4" s="9" t="s">
        <v>425</v>
      </c>
      <c r="J4" s="9" t="s">
        <v>583</v>
      </c>
    </row>
    <row r="5" customFormat="false" ht="15" hidden="false" customHeight="false" outlineLevel="0" collapsed="false">
      <c r="A5" s="10" t="s">
        <v>167</v>
      </c>
      <c r="B5" s="10" t="s">
        <v>168</v>
      </c>
      <c r="C5" s="23" t="n">
        <f aca="false">SUMIFS('Stock by Location'!$G$5:$G$264,'Stock by Location'!$A$5:$A$264,$A5,'Stock by Location'!$E$5:$E$264,C$4)</f>
        <v>9</v>
      </c>
      <c r="D5" s="23" t="n">
        <f aca="false">SUMIFS('Stock by Location'!$G$5:$G$264,'Stock by Location'!$A$5:$A$264,$A5,'Stock by Location'!$E$5:$E$264,D$4)</f>
        <v>5</v>
      </c>
      <c r="E5" s="23" t="n">
        <f aca="false">SUMIFS('Stock by Location'!$G$5:$G$264,'Stock by Location'!$A$5:$A$264,$A5,'Stock by Location'!$E$5:$E$264,E$4)</f>
        <v>4</v>
      </c>
      <c r="F5" s="23" t="n">
        <f aca="false">SUMIFS('Stock by Location'!$G$5:$G$264,'Stock by Location'!$A$5:$A$264,$A5,'Stock by Location'!$E$5:$E$264,F$4)</f>
        <v>3</v>
      </c>
      <c r="G5" s="23" t="n">
        <f aca="false">SUMIFS('Stock by Location'!$G$5:$G$264,'Stock by Location'!$A$5:$A$264,$A5,'Stock by Location'!$E$5:$E$264,G$4)</f>
        <v>4</v>
      </c>
      <c r="H5" s="14" t="n">
        <f aca="false">SUM(C5:G5)</f>
        <v>25</v>
      </c>
      <c r="I5" s="12" t="n">
        <f aca="false">INDEX(Products!$J$5:$J$93,MATCH(A5,Products!$A$5:$A$93,0))</f>
        <v>26400</v>
      </c>
      <c r="J5" s="12" t="n">
        <f aca="false">H5*I5</f>
        <v>660000</v>
      </c>
    </row>
    <row r="6" customFormat="false" ht="15" hidden="false" customHeight="false" outlineLevel="0" collapsed="false">
      <c r="A6" s="10" t="s">
        <v>177</v>
      </c>
      <c r="B6" s="10" t="s">
        <v>178</v>
      </c>
      <c r="C6" s="23" t="n">
        <f aca="false">SUMIFS('Stock by Location'!$G$5:$G$264,'Stock by Location'!$A$5:$A$264,$A6,'Stock by Location'!$E$5:$E$264,C$4)</f>
        <v>6</v>
      </c>
      <c r="D6" s="23" t="n">
        <f aca="false">SUMIFS('Stock by Location'!$G$5:$G$264,'Stock by Location'!$A$5:$A$264,$A6,'Stock by Location'!$E$5:$E$264,D$4)</f>
        <v>4</v>
      </c>
      <c r="E6" s="23" t="n">
        <f aca="false">SUMIFS('Stock by Location'!$G$5:$G$264,'Stock by Location'!$A$5:$A$264,$A6,'Stock by Location'!$E$5:$E$264,E$4)</f>
        <v>3</v>
      </c>
      <c r="F6" s="23" t="n">
        <f aca="false">SUMIFS('Stock by Location'!$G$5:$G$264,'Stock by Location'!$A$5:$A$264,$A6,'Stock by Location'!$E$5:$E$264,F$4)</f>
        <v>2</v>
      </c>
      <c r="G6" s="23" t="n">
        <f aca="false">SUMIFS('Stock by Location'!$G$5:$G$264,'Stock by Location'!$A$5:$A$264,$A6,'Stock by Location'!$E$5:$E$264,G$4)</f>
        <v>3</v>
      </c>
      <c r="H6" s="14" t="n">
        <f aca="false">SUM(C6:G6)</f>
        <v>18</v>
      </c>
      <c r="I6" s="12" t="n">
        <f aca="false">INDEX(Products!$J$5:$J$93,MATCH(A6,Products!$A$5:$A$93,0))</f>
        <v>33600</v>
      </c>
      <c r="J6" s="12" t="n">
        <f aca="false">H6*I6</f>
        <v>604800</v>
      </c>
    </row>
    <row r="7" customFormat="false" ht="15" hidden="false" customHeight="false" outlineLevel="0" collapsed="false">
      <c r="A7" s="10" t="s">
        <v>181</v>
      </c>
      <c r="B7" s="10" t="s">
        <v>182</v>
      </c>
      <c r="C7" s="23" t="n">
        <f aca="false">SUMIFS('Stock by Location'!$G$5:$G$264,'Stock by Location'!$A$5:$A$264,$A7,'Stock by Location'!$E$5:$E$264,C$4)</f>
        <v>4</v>
      </c>
      <c r="D7" s="23" t="n">
        <f aca="false">SUMIFS('Stock by Location'!$G$5:$G$264,'Stock by Location'!$A$5:$A$264,$A7,'Stock by Location'!$E$5:$E$264,D$4)</f>
        <v>2</v>
      </c>
      <c r="E7" s="23" t="n">
        <f aca="false">SUMIFS('Stock by Location'!$G$5:$G$264,'Stock by Location'!$A$5:$A$264,$A7,'Stock by Location'!$E$5:$E$264,E$4)</f>
        <v>2</v>
      </c>
      <c r="F7" s="23" t="n">
        <f aca="false">SUMIFS('Stock by Location'!$G$5:$G$264,'Stock by Location'!$A$5:$A$264,$A7,'Stock by Location'!$E$5:$E$264,F$4)</f>
        <v>2</v>
      </c>
      <c r="G7" s="23" t="n">
        <f aca="false">SUMIFS('Stock by Location'!$G$5:$G$264,'Stock by Location'!$A$5:$A$264,$A7,'Stock by Location'!$E$5:$E$264,G$4)</f>
        <v>2</v>
      </c>
      <c r="H7" s="14" t="n">
        <f aca="false">SUM(C7:G7)</f>
        <v>12</v>
      </c>
      <c r="I7" s="12" t="n">
        <f aca="false">INDEX(Products!$J$5:$J$93,MATCH(A7,Products!$A$5:$A$93,0))</f>
        <v>57600</v>
      </c>
      <c r="J7" s="12" t="n">
        <f aca="false">H7*I7</f>
        <v>691200</v>
      </c>
    </row>
    <row r="8" customFormat="false" ht="15" hidden="false" customHeight="false" outlineLevel="0" collapsed="false">
      <c r="A8" s="10" t="s">
        <v>184</v>
      </c>
      <c r="B8" s="10" t="s">
        <v>185</v>
      </c>
      <c r="C8" s="23" t="n">
        <f aca="false">SUMIFS('Stock by Location'!$G$5:$G$264,'Stock by Location'!$A$5:$A$264,$A8,'Stock by Location'!$E$5:$E$264,C$4)</f>
        <v>11</v>
      </c>
      <c r="D8" s="23" t="n">
        <f aca="false">SUMIFS('Stock by Location'!$G$5:$G$264,'Stock by Location'!$A$5:$A$264,$A8,'Stock by Location'!$E$5:$E$264,D$4)</f>
        <v>6</v>
      </c>
      <c r="E8" s="23" t="n">
        <f aca="false">SUMIFS('Stock by Location'!$G$5:$G$264,'Stock by Location'!$A$5:$A$264,$A8,'Stock by Location'!$E$5:$E$264,E$4)</f>
        <v>5</v>
      </c>
      <c r="F8" s="23" t="n">
        <f aca="false">SUMIFS('Stock by Location'!$G$5:$G$264,'Stock by Location'!$A$5:$A$264,$A8,'Stock by Location'!$E$5:$E$264,F$4)</f>
        <v>4</v>
      </c>
      <c r="G8" s="23" t="n">
        <f aca="false">SUMIFS('Stock by Location'!$G$5:$G$264,'Stock by Location'!$A$5:$A$264,$A8,'Stock by Location'!$E$5:$E$264,G$4)</f>
        <v>4</v>
      </c>
      <c r="H8" s="14" t="n">
        <f aca="false">SUM(C8:G8)</f>
        <v>30</v>
      </c>
      <c r="I8" s="12" t="n">
        <f aca="false">INDEX(Products!$J$5:$J$93,MATCH(A8,Products!$A$5:$A$93,0))</f>
        <v>18800</v>
      </c>
      <c r="J8" s="12" t="n">
        <f aca="false">H8*I8</f>
        <v>564000</v>
      </c>
    </row>
    <row r="9" customFormat="false" ht="15" hidden="false" customHeight="false" outlineLevel="0" collapsed="false">
      <c r="A9" s="10" t="s">
        <v>187</v>
      </c>
      <c r="B9" s="10" t="s">
        <v>188</v>
      </c>
      <c r="C9" s="23" t="n">
        <f aca="false">SUMIFS('Stock by Location'!$G$5:$G$264,'Stock by Location'!$A$5:$A$264,$A9,'Stock by Location'!$E$5:$E$264,C$4)</f>
        <v>7</v>
      </c>
      <c r="D9" s="23" t="n">
        <f aca="false">SUMIFS('Stock by Location'!$G$5:$G$264,'Stock by Location'!$A$5:$A$264,$A9,'Stock by Location'!$E$5:$E$264,D$4)</f>
        <v>4</v>
      </c>
      <c r="E9" s="23" t="n">
        <f aca="false">SUMIFS('Stock by Location'!$G$5:$G$264,'Stock by Location'!$A$5:$A$264,$A9,'Stock by Location'!$E$5:$E$264,E$4)</f>
        <v>4</v>
      </c>
      <c r="F9" s="23" t="n">
        <f aca="false">SUMIFS('Stock by Location'!$G$5:$G$264,'Stock by Location'!$A$5:$A$264,$A9,'Stock by Location'!$E$5:$E$264,F$4)</f>
        <v>2</v>
      </c>
      <c r="G9" s="23" t="n">
        <f aca="false">SUMIFS('Stock by Location'!$G$5:$G$264,'Stock by Location'!$A$5:$A$264,$A9,'Stock by Location'!$E$5:$E$264,G$4)</f>
        <v>3</v>
      </c>
      <c r="H9" s="14" t="n">
        <f aca="false">SUM(C9:G9)</f>
        <v>20</v>
      </c>
      <c r="I9" s="12" t="n">
        <f aca="false">INDEX(Products!$J$5:$J$93,MATCH(A9,Products!$A$5:$A$93,0))</f>
        <v>21200</v>
      </c>
      <c r="J9" s="12" t="n">
        <f aca="false">H9*I9</f>
        <v>424000</v>
      </c>
    </row>
    <row r="10" customFormat="false" ht="15" hidden="false" customHeight="false" outlineLevel="0" collapsed="false">
      <c r="A10" s="10" t="s">
        <v>190</v>
      </c>
      <c r="B10" s="10" t="s">
        <v>191</v>
      </c>
      <c r="C10" s="23" t="n">
        <f aca="false">SUMIFS('Stock by Location'!$G$5:$G$264,'Stock by Location'!$A$5:$A$264,$A10,'Stock by Location'!$E$5:$E$264,C$4)</f>
        <v>12</v>
      </c>
      <c r="D10" s="23" t="n">
        <f aca="false">SUMIFS('Stock by Location'!$G$5:$G$264,'Stock by Location'!$A$5:$A$264,$A10,'Stock by Location'!$E$5:$E$264,D$4)</f>
        <v>7</v>
      </c>
      <c r="E10" s="23" t="n">
        <f aca="false">SUMIFS('Stock by Location'!$G$5:$G$264,'Stock by Location'!$A$5:$A$264,$A10,'Stock by Location'!$E$5:$E$264,E$4)</f>
        <v>7</v>
      </c>
      <c r="F10" s="23" t="n">
        <f aca="false">SUMIFS('Stock by Location'!$G$5:$G$264,'Stock by Location'!$A$5:$A$264,$A10,'Stock by Location'!$E$5:$E$264,F$4)</f>
        <v>4</v>
      </c>
      <c r="G10" s="23" t="n">
        <f aca="false">SUMIFS('Stock by Location'!$G$5:$G$264,'Stock by Location'!$A$5:$A$264,$A10,'Stock by Location'!$E$5:$E$264,G$4)</f>
        <v>5</v>
      </c>
      <c r="H10" s="14" t="n">
        <f aca="false">SUM(C10:G10)</f>
        <v>35</v>
      </c>
      <c r="I10" s="12" t="n">
        <f aca="false">INDEX(Products!$J$5:$J$93,MATCH(A10,Products!$A$5:$A$93,0))</f>
        <v>18000</v>
      </c>
      <c r="J10" s="12" t="n">
        <f aca="false">H10*I10</f>
        <v>630000</v>
      </c>
    </row>
    <row r="11" customFormat="false" ht="15" hidden="false" customHeight="false" outlineLevel="0" collapsed="false">
      <c r="A11" s="10" t="s">
        <v>193</v>
      </c>
      <c r="B11" s="10" t="s">
        <v>194</v>
      </c>
      <c r="C11" s="23" t="n">
        <f aca="false">SUMIFS('Stock by Location'!$G$5:$G$264,'Stock by Location'!$A$5:$A$264,$A11,'Stock by Location'!$E$5:$E$264,C$4)</f>
        <v>5</v>
      </c>
      <c r="D11" s="23" t="n">
        <f aca="false">SUMIFS('Stock by Location'!$G$5:$G$264,'Stock by Location'!$A$5:$A$264,$A11,'Stock by Location'!$E$5:$E$264,D$4)</f>
        <v>3</v>
      </c>
      <c r="E11" s="23" t="n">
        <f aca="false">SUMIFS('Stock by Location'!$G$5:$G$264,'Stock by Location'!$A$5:$A$264,$A11,'Stock by Location'!$E$5:$E$264,E$4)</f>
        <v>3</v>
      </c>
      <c r="F11" s="23" t="n">
        <f aca="false">SUMIFS('Stock by Location'!$G$5:$G$264,'Stock by Location'!$A$5:$A$264,$A11,'Stock by Location'!$E$5:$E$264,F$4)</f>
        <v>2</v>
      </c>
      <c r="G11" s="23" t="n">
        <f aca="false">SUMIFS('Stock by Location'!$G$5:$G$264,'Stock by Location'!$A$5:$A$264,$A11,'Stock by Location'!$E$5:$E$264,G$4)</f>
        <v>2</v>
      </c>
      <c r="H11" s="14" t="n">
        <f aca="false">SUM(C11:G11)</f>
        <v>15</v>
      </c>
      <c r="I11" s="12" t="n">
        <f aca="false">INDEX(Products!$J$5:$J$93,MATCH(A11,Products!$A$5:$A$93,0))</f>
        <v>23600</v>
      </c>
      <c r="J11" s="12" t="n">
        <f aca="false">H11*I11</f>
        <v>354000</v>
      </c>
    </row>
    <row r="12" customFormat="false" ht="15" hidden="false" customHeight="false" outlineLevel="0" collapsed="false">
      <c r="A12" s="10" t="s">
        <v>196</v>
      </c>
      <c r="B12" s="10" t="s">
        <v>197</v>
      </c>
      <c r="C12" s="23" t="n">
        <f aca="false">SUMIFS('Stock by Location'!$G$5:$G$264,'Stock by Location'!$A$5:$A$264,$A12,'Stock by Location'!$E$5:$E$264,C$4)</f>
        <v>8</v>
      </c>
      <c r="D12" s="23" t="n">
        <f aca="false">SUMIFS('Stock by Location'!$G$5:$G$264,'Stock by Location'!$A$5:$A$264,$A12,'Stock by Location'!$E$5:$E$264,D$4)</f>
        <v>4</v>
      </c>
      <c r="E12" s="23" t="n">
        <f aca="false">SUMIFS('Stock by Location'!$G$5:$G$264,'Stock by Location'!$A$5:$A$264,$A12,'Stock by Location'!$E$5:$E$264,E$4)</f>
        <v>4</v>
      </c>
      <c r="F12" s="23" t="n">
        <f aca="false">SUMIFS('Stock by Location'!$G$5:$G$264,'Stock by Location'!$A$5:$A$264,$A12,'Stock by Location'!$E$5:$E$264,F$4)</f>
        <v>3</v>
      </c>
      <c r="G12" s="23" t="n">
        <f aca="false">SUMIFS('Stock by Location'!$G$5:$G$264,'Stock by Location'!$A$5:$A$264,$A12,'Stock by Location'!$E$5:$E$264,G$4)</f>
        <v>3</v>
      </c>
      <c r="H12" s="14" t="n">
        <f aca="false">SUM(C12:G12)</f>
        <v>22</v>
      </c>
      <c r="I12" s="12" t="n">
        <f aca="false">INDEX(Products!$J$5:$J$93,MATCH(A12,Products!$A$5:$A$93,0))</f>
        <v>14550</v>
      </c>
      <c r="J12" s="12" t="n">
        <f aca="false">H12*I12</f>
        <v>320100</v>
      </c>
    </row>
    <row r="13" customFormat="false" ht="15" hidden="false" customHeight="false" outlineLevel="0" collapsed="false">
      <c r="A13" s="10" t="s">
        <v>199</v>
      </c>
      <c r="B13" s="10" t="s">
        <v>200</v>
      </c>
      <c r="C13" s="23" t="n">
        <f aca="false">SUMIFS('Stock by Location'!$G$5:$G$264,'Stock by Location'!$A$5:$A$264,$A13,'Stock by Location'!$E$5:$E$264,C$4)</f>
        <v>10</v>
      </c>
      <c r="D13" s="23" t="n">
        <f aca="false">SUMIFS('Stock by Location'!$G$5:$G$264,'Stock by Location'!$A$5:$A$264,$A13,'Stock by Location'!$E$5:$E$264,D$4)</f>
        <v>6</v>
      </c>
      <c r="E13" s="23" t="n">
        <f aca="false">SUMIFS('Stock by Location'!$G$5:$G$264,'Stock by Location'!$A$5:$A$264,$A13,'Stock by Location'!$E$5:$E$264,E$4)</f>
        <v>5</v>
      </c>
      <c r="F13" s="23" t="n">
        <f aca="false">SUMIFS('Stock by Location'!$G$5:$G$264,'Stock by Location'!$A$5:$A$264,$A13,'Stock by Location'!$E$5:$E$264,F$4)</f>
        <v>3</v>
      </c>
      <c r="G13" s="23" t="n">
        <f aca="false">SUMIFS('Stock by Location'!$G$5:$G$264,'Stock by Location'!$A$5:$A$264,$A13,'Stock by Location'!$E$5:$E$264,G$4)</f>
        <v>4</v>
      </c>
      <c r="H13" s="14" t="n">
        <f aca="false">SUM(C13:G13)</f>
        <v>28</v>
      </c>
      <c r="I13" s="12" t="n">
        <f aca="false">INDEX(Products!$J$5:$J$93,MATCH(A13,Products!$A$5:$A$93,0))</f>
        <v>24400</v>
      </c>
      <c r="J13" s="12" t="n">
        <f aca="false">H13*I13</f>
        <v>683200</v>
      </c>
    </row>
    <row r="14" customFormat="false" ht="15" hidden="false" customHeight="false" outlineLevel="0" collapsed="false">
      <c r="A14" s="10" t="s">
        <v>202</v>
      </c>
      <c r="B14" s="10" t="s">
        <v>203</v>
      </c>
      <c r="C14" s="23" t="n">
        <f aca="false">SUMIFS('Stock by Location'!$G$5:$G$264,'Stock by Location'!$A$5:$A$264,$A14,'Stock by Location'!$E$5:$E$264,C$4)</f>
        <v>8</v>
      </c>
      <c r="D14" s="23" t="n">
        <f aca="false">SUMIFS('Stock by Location'!$G$5:$G$264,'Stock by Location'!$A$5:$A$264,$A14,'Stock by Location'!$E$5:$E$264,D$4)</f>
        <v>5</v>
      </c>
      <c r="E14" s="23" t="n">
        <f aca="false">SUMIFS('Stock by Location'!$G$5:$G$264,'Stock by Location'!$A$5:$A$264,$A14,'Stock by Location'!$E$5:$E$264,E$4)</f>
        <v>4</v>
      </c>
      <c r="F14" s="23" t="n">
        <f aca="false">SUMIFS('Stock by Location'!$G$5:$G$264,'Stock by Location'!$A$5:$A$264,$A14,'Stock by Location'!$E$5:$E$264,F$4)</f>
        <v>3</v>
      </c>
      <c r="G14" s="23" t="n">
        <f aca="false">SUMIFS('Stock by Location'!$G$5:$G$264,'Stock by Location'!$A$5:$A$264,$A14,'Stock by Location'!$E$5:$E$264,G$4)</f>
        <v>4</v>
      </c>
      <c r="H14" s="14" t="n">
        <f aca="false">SUM(C14:G14)</f>
        <v>24</v>
      </c>
      <c r="I14" s="12" t="n">
        <f aca="false">INDEX(Products!$J$5:$J$93,MATCH(A14,Products!$A$5:$A$93,0))</f>
        <v>21600</v>
      </c>
      <c r="J14" s="12" t="n">
        <f aca="false">H14*I14</f>
        <v>518400</v>
      </c>
    </row>
    <row r="15" customFormat="false" ht="15" hidden="false" customHeight="false" outlineLevel="0" collapsed="false">
      <c r="A15" s="10" t="s">
        <v>205</v>
      </c>
      <c r="B15" s="10" t="s">
        <v>206</v>
      </c>
      <c r="C15" s="23" t="n">
        <f aca="false">SUMIFS('Stock by Location'!$G$5:$G$264,'Stock by Location'!$A$5:$A$264,$A15,'Stock by Location'!$E$5:$E$264,C$4)</f>
        <v>14</v>
      </c>
      <c r="D15" s="23" t="n">
        <f aca="false">SUMIFS('Stock by Location'!$G$5:$G$264,'Stock by Location'!$A$5:$A$264,$A15,'Stock by Location'!$E$5:$E$264,D$4)</f>
        <v>8</v>
      </c>
      <c r="E15" s="23" t="n">
        <f aca="false">SUMIFS('Stock by Location'!$G$5:$G$264,'Stock by Location'!$A$5:$A$264,$A15,'Stock by Location'!$E$5:$E$264,E$4)</f>
        <v>7</v>
      </c>
      <c r="F15" s="23" t="n">
        <f aca="false">SUMIFS('Stock by Location'!$G$5:$G$264,'Stock by Location'!$A$5:$A$264,$A15,'Stock by Location'!$E$5:$E$264,F$4)</f>
        <v>5</v>
      </c>
      <c r="G15" s="23" t="n">
        <f aca="false">SUMIFS('Stock by Location'!$G$5:$G$264,'Stock by Location'!$A$5:$A$264,$A15,'Stock by Location'!$E$5:$E$264,G$4)</f>
        <v>6</v>
      </c>
      <c r="H15" s="14" t="n">
        <f aca="false">SUM(C15:G15)</f>
        <v>40</v>
      </c>
      <c r="I15" s="12" t="n">
        <f aca="false">INDEX(Products!$J$5:$J$93,MATCH(A15,Products!$A$5:$A$93,0))</f>
        <v>16800</v>
      </c>
      <c r="J15" s="12" t="n">
        <f aca="false">H15*I15</f>
        <v>672000</v>
      </c>
    </row>
    <row r="16" customFormat="false" ht="15" hidden="false" customHeight="false" outlineLevel="0" collapsed="false">
      <c r="A16" s="10" t="s">
        <v>208</v>
      </c>
      <c r="B16" s="10" t="s">
        <v>209</v>
      </c>
      <c r="C16" s="23" t="n">
        <f aca="false">SUMIFS('Stock by Location'!$G$5:$G$264,'Stock by Location'!$A$5:$A$264,$A16,'Stock by Location'!$E$5:$E$264,C$4)</f>
        <v>11</v>
      </c>
      <c r="D16" s="23" t="n">
        <f aca="false">SUMIFS('Stock by Location'!$G$5:$G$264,'Stock by Location'!$A$5:$A$264,$A16,'Stock by Location'!$E$5:$E$264,D$4)</f>
        <v>6</v>
      </c>
      <c r="E16" s="23" t="n">
        <f aca="false">SUMIFS('Stock by Location'!$G$5:$G$264,'Stock by Location'!$A$5:$A$264,$A16,'Stock by Location'!$E$5:$E$264,E$4)</f>
        <v>6</v>
      </c>
      <c r="F16" s="23" t="n">
        <f aca="false">SUMIFS('Stock by Location'!$G$5:$G$264,'Stock by Location'!$A$5:$A$264,$A16,'Stock by Location'!$E$5:$E$264,F$4)</f>
        <v>4</v>
      </c>
      <c r="G16" s="23" t="n">
        <f aca="false">SUMIFS('Stock by Location'!$G$5:$G$264,'Stock by Location'!$A$5:$A$264,$A16,'Stock by Location'!$E$5:$E$264,G$4)</f>
        <v>5</v>
      </c>
      <c r="H16" s="14" t="n">
        <f aca="false">SUM(C16:G16)</f>
        <v>32</v>
      </c>
      <c r="I16" s="12" t="n">
        <f aca="false">INDEX(Products!$J$5:$J$93,MATCH(A16,Products!$A$5:$A$93,0))</f>
        <v>13450</v>
      </c>
      <c r="J16" s="12" t="n">
        <f aca="false">H16*I16</f>
        <v>430400</v>
      </c>
    </row>
    <row r="17" customFormat="false" ht="15" hidden="false" customHeight="false" outlineLevel="0" collapsed="false">
      <c r="A17" s="10" t="s">
        <v>211</v>
      </c>
      <c r="B17" s="10" t="s">
        <v>212</v>
      </c>
      <c r="C17" s="23" t="n">
        <f aca="false">SUMIFS('Stock by Location'!$G$5:$G$264,'Stock by Location'!$A$5:$A$264,$A17,'Stock by Location'!$E$5:$E$264,C$4)</f>
        <v>9</v>
      </c>
      <c r="D17" s="23" t="n">
        <f aca="false">SUMIFS('Stock by Location'!$G$5:$G$264,'Stock by Location'!$A$5:$A$264,$A17,'Stock by Location'!$E$5:$E$264,D$4)</f>
        <v>5</v>
      </c>
      <c r="E17" s="23" t="n">
        <f aca="false">SUMIFS('Stock by Location'!$G$5:$G$264,'Stock by Location'!$A$5:$A$264,$A17,'Stock by Location'!$E$5:$E$264,E$4)</f>
        <v>5</v>
      </c>
      <c r="F17" s="23" t="n">
        <f aca="false">SUMIFS('Stock by Location'!$G$5:$G$264,'Stock by Location'!$A$5:$A$264,$A17,'Stock by Location'!$E$5:$E$264,F$4)</f>
        <v>3</v>
      </c>
      <c r="G17" s="23" t="n">
        <f aca="false">SUMIFS('Stock by Location'!$G$5:$G$264,'Stock by Location'!$A$5:$A$264,$A17,'Stock by Location'!$E$5:$E$264,G$4)</f>
        <v>4</v>
      </c>
      <c r="H17" s="14" t="n">
        <f aca="false">SUM(C17:G17)</f>
        <v>26</v>
      </c>
      <c r="I17" s="12" t="n">
        <f aca="false">INDEX(Products!$J$5:$J$93,MATCH(A17,Products!$A$5:$A$93,0))</f>
        <v>16400</v>
      </c>
      <c r="J17" s="12" t="n">
        <f aca="false">H17*I17</f>
        <v>426400</v>
      </c>
    </row>
    <row r="18" customFormat="false" ht="15" hidden="false" customHeight="false" outlineLevel="0" collapsed="false">
      <c r="A18" s="10" t="s">
        <v>214</v>
      </c>
      <c r="B18" s="10" t="s">
        <v>215</v>
      </c>
      <c r="C18" s="23" t="n">
        <f aca="false">SUMIFS('Stock by Location'!$G$5:$G$264,'Stock by Location'!$A$5:$A$264,$A18,'Stock by Location'!$E$5:$E$264,C$4)</f>
        <v>7</v>
      </c>
      <c r="D18" s="23" t="n">
        <f aca="false">SUMIFS('Stock by Location'!$G$5:$G$264,'Stock by Location'!$A$5:$A$264,$A18,'Stock by Location'!$E$5:$E$264,D$4)</f>
        <v>4</v>
      </c>
      <c r="E18" s="23" t="n">
        <f aca="false">SUMIFS('Stock by Location'!$G$5:$G$264,'Stock by Location'!$A$5:$A$264,$A18,'Stock by Location'!$E$5:$E$264,E$4)</f>
        <v>3</v>
      </c>
      <c r="F18" s="23" t="n">
        <f aca="false">SUMIFS('Stock by Location'!$G$5:$G$264,'Stock by Location'!$A$5:$A$264,$A18,'Stock by Location'!$E$5:$E$264,F$4)</f>
        <v>2</v>
      </c>
      <c r="G18" s="23" t="n">
        <f aca="false">SUMIFS('Stock by Location'!$G$5:$G$264,'Stock by Location'!$A$5:$A$264,$A18,'Stock by Location'!$E$5:$E$264,G$4)</f>
        <v>3</v>
      </c>
      <c r="H18" s="14" t="n">
        <f aca="false">SUM(C18:G18)</f>
        <v>19</v>
      </c>
      <c r="I18" s="12" t="n">
        <f aca="false">INDEX(Products!$J$5:$J$93,MATCH(A18,Products!$A$5:$A$93,0))</f>
        <v>17600</v>
      </c>
      <c r="J18" s="12" t="n">
        <f aca="false">H18*I18</f>
        <v>334400</v>
      </c>
    </row>
    <row r="19" customFormat="false" ht="15" hidden="false" customHeight="false" outlineLevel="0" collapsed="false">
      <c r="A19" s="10" t="s">
        <v>217</v>
      </c>
      <c r="B19" s="10" t="s">
        <v>218</v>
      </c>
      <c r="C19" s="23" t="n">
        <f aca="false">SUMIFS('Stock by Location'!$G$5:$G$264,'Stock by Location'!$A$5:$A$264,$A19,'Stock by Location'!$E$5:$E$264,C$4)</f>
        <v>5</v>
      </c>
      <c r="D19" s="23" t="n">
        <f aca="false">SUMIFS('Stock by Location'!$G$5:$G$264,'Stock by Location'!$A$5:$A$264,$A19,'Stock by Location'!$E$5:$E$264,D$4)</f>
        <v>3</v>
      </c>
      <c r="E19" s="23" t="n">
        <f aca="false">SUMIFS('Stock by Location'!$G$5:$G$264,'Stock by Location'!$A$5:$A$264,$A19,'Stock by Location'!$E$5:$E$264,E$4)</f>
        <v>2</v>
      </c>
      <c r="F19" s="23" t="n">
        <f aca="false">SUMIFS('Stock by Location'!$G$5:$G$264,'Stock by Location'!$A$5:$A$264,$A19,'Stock by Location'!$E$5:$E$264,F$4)</f>
        <v>2</v>
      </c>
      <c r="G19" s="23" t="n">
        <f aca="false">SUMIFS('Stock by Location'!$G$5:$G$264,'Stock by Location'!$A$5:$A$264,$A19,'Stock by Location'!$E$5:$E$264,G$4)</f>
        <v>2</v>
      </c>
      <c r="H19" s="14" t="n">
        <f aca="false">SUM(C19:G19)</f>
        <v>14</v>
      </c>
      <c r="I19" s="12" t="n">
        <f aca="false">INDEX(Products!$J$5:$J$93,MATCH(A19,Products!$A$5:$A$93,0))</f>
        <v>28400</v>
      </c>
      <c r="J19" s="12" t="n">
        <f aca="false">H19*I19</f>
        <v>397600</v>
      </c>
    </row>
    <row r="20" customFormat="false" ht="15" hidden="false" customHeight="false" outlineLevel="0" collapsed="false">
      <c r="A20" s="10" t="s">
        <v>220</v>
      </c>
      <c r="B20" s="10" t="s">
        <v>221</v>
      </c>
      <c r="C20" s="23" t="n">
        <f aca="false">SUMIFS('Stock by Location'!$G$5:$G$264,'Stock by Location'!$A$5:$A$264,$A20,'Stock by Location'!$E$5:$E$264,C$4)</f>
        <v>6</v>
      </c>
      <c r="D20" s="23" t="n">
        <f aca="false">SUMIFS('Stock by Location'!$G$5:$G$264,'Stock by Location'!$A$5:$A$264,$A20,'Stock by Location'!$E$5:$E$264,D$4)</f>
        <v>3</v>
      </c>
      <c r="E20" s="23" t="n">
        <f aca="false">SUMIFS('Stock by Location'!$G$5:$G$264,'Stock by Location'!$A$5:$A$264,$A20,'Stock by Location'!$E$5:$E$264,E$4)</f>
        <v>3</v>
      </c>
      <c r="F20" s="23" t="n">
        <f aca="false">SUMIFS('Stock by Location'!$G$5:$G$264,'Stock by Location'!$A$5:$A$264,$A20,'Stock by Location'!$E$5:$E$264,F$4)</f>
        <v>2</v>
      </c>
      <c r="G20" s="23" t="n">
        <f aca="false">SUMIFS('Stock by Location'!$G$5:$G$264,'Stock by Location'!$A$5:$A$264,$A20,'Stock by Location'!$E$5:$E$264,G$4)</f>
        <v>3</v>
      </c>
      <c r="H20" s="14" t="n">
        <f aca="false">SUM(C20:G20)</f>
        <v>17</v>
      </c>
      <c r="I20" s="12" t="n">
        <f aca="false">INDEX(Products!$J$5:$J$93,MATCH(A20,Products!$A$5:$A$93,0))</f>
        <v>22400</v>
      </c>
      <c r="J20" s="12" t="n">
        <f aca="false">H20*I20</f>
        <v>380800</v>
      </c>
    </row>
    <row r="21" customFormat="false" ht="15" hidden="false" customHeight="false" outlineLevel="0" collapsed="false">
      <c r="A21" s="10" t="s">
        <v>223</v>
      </c>
      <c r="B21" s="10" t="s">
        <v>224</v>
      </c>
      <c r="C21" s="23" t="n">
        <f aca="false">SUMIFS('Stock by Location'!$G$5:$G$264,'Stock by Location'!$A$5:$A$264,$A21,'Stock by Location'!$E$5:$E$264,C$4)</f>
        <v>16</v>
      </c>
      <c r="D21" s="23" t="n">
        <f aca="false">SUMIFS('Stock by Location'!$G$5:$G$264,'Stock by Location'!$A$5:$A$264,$A21,'Stock by Location'!$E$5:$E$264,D$4)</f>
        <v>9</v>
      </c>
      <c r="E21" s="23" t="n">
        <f aca="false">SUMIFS('Stock by Location'!$G$5:$G$264,'Stock by Location'!$A$5:$A$264,$A21,'Stock by Location'!$E$5:$E$264,E$4)</f>
        <v>8</v>
      </c>
      <c r="F21" s="23" t="n">
        <f aca="false">SUMIFS('Stock by Location'!$G$5:$G$264,'Stock by Location'!$A$5:$A$264,$A21,'Stock by Location'!$E$5:$E$264,F$4)</f>
        <v>5</v>
      </c>
      <c r="G21" s="23" t="n">
        <f aca="false">SUMIFS('Stock by Location'!$G$5:$G$264,'Stock by Location'!$A$5:$A$264,$A21,'Stock by Location'!$E$5:$E$264,G$4)</f>
        <v>7</v>
      </c>
      <c r="H21" s="14" t="n">
        <f aca="false">SUM(C21:G21)</f>
        <v>45</v>
      </c>
      <c r="I21" s="12" t="n">
        <f aca="false">INDEX(Products!$J$5:$J$93,MATCH(A21,Products!$A$5:$A$93,0))</f>
        <v>22550</v>
      </c>
      <c r="J21" s="12" t="n">
        <f aca="false">H21*I21</f>
        <v>1014750</v>
      </c>
    </row>
    <row r="22" customFormat="false" ht="15" hidden="false" customHeight="false" outlineLevel="0" collapsed="false">
      <c r="A22" s="10" t="s">
        <v>228</v>
      </c>
      <c r="B22" s="10" t="s">
        <v>229</v>
      </c>
      <c r="C22" s="23" t="n">
        <f aca="false">SUMIFS('Stock by Location'!$G$5:$G$264,'Stock by Location'!$A$5:$A$264,$A22,'Stock by Location'!$E$5:$E$264,C$4)</f>
        <v>18</v>
      </c>
      <c r="D22" s="23" t="n">
        <f aca="false">SUMIFS('Stock by Location'!$G$5:$G$264,'Stock by Location'!$A$5:$A$264,$A22,'Stock by Location'!$E$5:$E$264,D$4)</f>
        <v>10</v>
      </c>
      <c r="E22" s="23" t="n">
        <f aca="false">SUMIFS('Stock by Location'!$G$5:$G$264,'Stock by Location'!$A$5:$A$264,$A22,'Stock by Location'!$E$5:$E$264,E$4)</f>
        <v>9</v>
      </c>
      <c r="F22" s="23" t="n">
        <f aca="false">SUMIFS('Stock by Location'!$G$5:$G$264,'Stock by Location'!$A$5:$A$264,$A22,'Stock by Location'!$E$5:$E$264,F$4)</f>
        <v>6</v>
      </c>
      <c r="G22" s="23" t="n">
        <f aca="false">SUMIFS('Stock by Location'!$G$5:$G$264,'Stock by Location'!$A$5:$A$264,$A22,'Stock by Location'!$E$5:$E$264,G$4)</f>
        <v>7</v>
      </c>
      <c r="H22" s="14" t="n">
        <f aca="false">SUM(C22:G22)</f>
        <v>50</v>
      </c>
      <c r="I22" s="12" t="n">
        <f aca="false">INDEX(Products!$J$5:$J$93,MATCH(A22,Products!$A$5:$A$93,0))</f>
        <v>18850</v>
      </c>
      <c r="J22" s="12" t="n">
        <f aca="false">H22*I22</f>
        <v>942500</v>
      </c>
    </row>
    <row r="23" customFormat="false" ht="15" hidden="false" customHeight="false" outlineLevel="0" collapsed="false">
      <c r="A23" s="10" t="s">
        <v>231</v>
      </c>
      <c r="B23" s="10" t="s">
        <v>232</v>
      </c>
      <c r="C23" s="23" t="n">
        <f aca="false">SUMIFS('Stock by Location'!$G$5:$G$264,'Stock by Location'!$A$5:$A$264,$A23,'Stock by Location'!$E$5:$E$264,C$4)</f>
        <v>11</v>
      </c>
      <c r="D23" s="23" t="n">
        <f aca="false">SUMIFS('Stock by Location'!$G$5:$G$264,'Stock by Location'!$A$5:$A$264,$A23,'Stock by Location'!$E$5:$E$264,D$4)</f>
        <v>6</v>
      </c>
      <c r="E23" s="23" t="n">
        <f aca="false">SUMIFS('Stock by Location'!$G$5:$G$264,'Stock by Location'!$A$5:$A$264,$A23,'Stock by Location'!$E$5:$E$264,E$4)</f>
        <v>5</v>
      </c>
      <c r="F23" s="23" t="n">
        <f aca="false">SUMIFS('Stock by Location'!$G$5:$G$264,'Stock by Location'!$A$5:$A$264,$A23,'Stock by Location'!$E$5:$E$264,F$4)</f>
        <v>4</v>
      </c>
      <c r="G23" s="23" t="n">
        <f aca="false">SUMIFS('Stock by Location'!$G$5:$G$264,'Stock by Location'!$A$5:$A$264,$A23,'Stock by Location'!$E$5:$E$264,G$4)</f>
        <v>4</v>
      </c>
      <c r="H23" s="14" t="n">
        <f aca="false">SUM(C23:G23)</f>
        <v>30</v>
      </c>
      <c r="I23" s="12" t="n">
        <f aca="false">INDEX(Products!$J$5:$J$93,MATCH(A23,Products!$A$5:$A$93,0))</f>
        <v>30350</v>
      </c>
      <c r="J23" s="12" t="n">
        <f aca="false">H23*I23</f>
        <v>910500</v>
      </c>
    </row>
    <row r="24" customFormat="false" ht="15" hidden="false" customHeight="false" outlineLevel="0" collapsed="false">
      <c r="A24" s="10" t="s">
        <v>234</v>
      </c>
      <c r="B24" s="10" t="s">
        <v>235</v>
      </c>
      <c r="C24" s="23" t="n">
        <f aca="false">SUMIFS('Stock by Location'!$G$5:$G$264,'Stock by Location'!$A$5:$A$264,$A24,'Stock by Location'!$E$5:$E$264,C$4)</f>
        <v>6</v>
      </c>
      <c r="D24" s="23" t="n">
        <f aca="false">SUMIFS('Stock by Location'!$G$5:$G$264,'Stock by Location'!$A$5:$A$264,$A24,'Stock by Location'!$E$5:$E$264,D$4)</f>
        <v>3</v>
      </c>
      <c r="E24" s="23" t="n">
        <f aca="false">SUMIFS('Stock by Location'!$G$5:$G$264,'Stock by Location'!$A$5:$A$264,$A24,'Stock by Location'!$E$5:$E$264,E$4)</f>
        <v>3</v>
      </c>
      <c r="F24" s="23" t="n">
        <f aca="false">SUMIFS('Stock by Location'!$G$5:$G$264,'Stock by Location'!$A$5:$A$264,$A24,'Stock by Location'!$E$5:$E$264,F$4)</f>
        <v>2</v>
      </c>
      <c r="G24" s="23" t="n">
        <f aca="false">SUMIFS('Stock by Location'!$G$5:$G$264,'Stock by Location'!$A$5:$A$264,$A24,'Stock by Location'!$E$5:$E$264,G$4)</f>
        <v>2</v>
      </c>
      <c r="H24" s="14" t="n">
        <f aca="false">SUM(C24:G24)</f>
        <v>16</v>
      </c>
      <c r="I24" s="12" t="n">
        <f aca="false">INDEX(Products!$J$5:$J$93,MATCH(A24,Products!$A$5:$A$93,0))</f>
        <v>40600</v>
      </c>
      <c r="J24" s="12" t="n">
        <f aca="false">H24*I24</f>
        <v>649600</v>
      </c>
    </row>
    <row r="25" customFormat="false" ht="15" hidden="false" customHeight="false" outlineLevel="0" collapsed="false">
      <c r="A25" s="10" t="s">
        <v>237</v>
      </c>
      <c r="B25" s="10" t="s">
        <v>238</v>
      </c>
      <c r="C25" s="23" t="n">
        <f aca="false">SUMIFS('Stock by Location'!$G$5:$G$264,'Stock by Location'!$A$5:$A$264,$A25,'Stock by Location'!$E$5:$E$264,C$4)</f>
        <v>28</v>
      </c>
      <c r="D25" s="23" t="n">
        <f aca="false">SUMIFS('Stock by Location'!$G$5:$G$264,'Stock by Location'!$A$5:$A$264,$A25,'Stock by Location'!$E$5:$E$264,D$4)</f>
        <v>16</v>
      </c>
      <c r="E25" s="23" t="n">
        <f aca="false">SUMIFS('Stock by Location'!$G$5:$G$264,'Stock by Location'!$A$5:$A$264,$A25,'Stock by Location'!$E$5:$E$264,E$4)</f>
        <v>14</v>
      </c>
      <c r="F25" s="23" t="n">
        <f aca="false">SUMIFS('Stock by Location'!$G$5:$G$264,'Stock by Location'!$A$5:$A$264,$A25,'Stock by Location'!$E$5:$E$264,F$4)</f>
        <v>10</v>
      </c>
      <c r="G25" s="23" t="n">
        <f aca="false">SUMIFS('Stock by Location'!$G$5:$G$264,'Stock by Location'!$A$5:$A$264,$A25,'Stock by Location'!$E$5:$E$264,G$4)</f>
        <v>12</v>
      </c>
      <c r="H25" s="14" t="n">
        <f aca="false">SUM(C25:G25)</f>
        <v>80</v>
      </c>
      <c r="I25" s="12" t="n">
        <f aca="false">INDEX(Products!$J$5:$J$93,MATCH(A25,Products!$A$5:$A$93,0))</f>
        <v>1600</v>
      </c>
      <c r="J25" s="12" t="n">
        <f aca="false">H25*I25</f>
        <v>128000</v>
      </c>
    </row>
    <row r="26" customFormat="false" ht="15" hidden="false" customHeight="false" outlineLevel="0" collapsed="false">
      <c r="A26" s="10" t="s">
        <v>240</v>
      </c>
      <c r="B26" s="10" t="s">
        <v>241</v>
      </c>
      <c r="C26" s="23" t="n">
        <f aca="false">SUMIFS('Stock by Location'!$G$5:$G$264,'Stock by Location'!$A$5:$A$264,$A26,'Stock by Location'!$E$5:$E$264,C$4)</f>
        <v>35</v>
      </c>
      <c r="D26" s="23" t="n">
        <f aca="false">SUMIFS('Stock by Location'!$G$5:$G$264,'Stock by Location'!$A$5:$A$264,$A26,'Stock by Location'!$E$5:$E$264,D$4)</f>
        <v>20</v>
      </c>
      <c r="E26" s="23" t="n">
        <f aca="false">SUMIFS('Stock by Location'!$G$5:$G$264,'Stock by Location'!$A$5:$A$264,$A26,'Stock by Location'!$E$5:$E$264,E$4)</f>
        <v>18</v>
      </c>
      <c r="F26" s="23" t="n">
        <f aca="false">SUMIFS('Stock by Location'!$G$5:$G$264,'Stock by Location'!$A$5:$A$264,$A26,'Stock by Location'!$E$5:$E$264,F$4)</f>
        <v>12</v>
      </c>
      <c r="G26" s="23" t="n">
        <f aca="false">SUMIFS('Stock by Location'!$G$5:$G$264,'Stock by Location'!$A$5:$A$264,$A26,'Stock by Location'!$E$5:$E$264,G$4)</f>
        <v>15</v>
      </c>
      <c r="H26" s="14" t="n">
        <f aca="false">SUM(C26:G26)</f>
        <v>100</v>
      </c>
      <c r="I26" s="12" t="n">
        <f aca="false">INDEX(Products!$J$5:$J$93,MATCH(A26,Products!$A$5:$A$93,0))</f>
        <v>1350</v>
      </c>
      <c r="J26" s="12" t="n">
        <f aca="false">H26*I26</f>
        <v>135000</v>
      </c>
    </row>
    <row r="27" customFormat="false" ht="15" hidden="false" customHeight="false" outlineLevel="0" collapsed="false">
      <c r="A27" s="10" t="s">
        <v>243</v>
      </c>
      <c r="B27" s="10" t="s">
        <v>244</v>
      </c>
      <c r="C27" s="23" t="n">
        <f aca="false">SUMIFS('Stock by Location'!$G$5:$G$264,'Stock by Location'!$A$5:$A$264,$A27,'Stock by Location'!$E$5:$E$264,C$4)</f>
        <v>8</v>
      </c>
      <c r="D27" s="23" t="n">
        <f aca="false">SUMIFS('Stock by Location'!$G$5:$G$264,'Stock by Location'!$A$5:$A$264,$A27,'Stock by Location'!$E$5:$E$264,D$4)</f>
        <v>4</v>
      </c>
      <c r="E27" s="23" t="n">
        <f aca="false">SUMIFS('Stock by Location'!$G$5:$G$264,'Stock by Location'!$A$5:$A$264,$A27,'Stock by Location'!$E$5:$E$264,E$4)</f>
        <v>4</v>
      </c>
      <c r="F27" s="23" t="n">
        <f aca="false">SUMIFS('Stock by Location'!$G$5:$G$264,'Stock by Location'!$A$5:$A$264,$A27,'Stock by Location'!$E$5:$E$264,F$4)</f>
        <v>3</v>
      </c>
      <c r="G27" s="23" t="n">
        <f aca="false">SUMIFS('Stock by Location'!$G$5:$G$264,'Stock by Location'!$A$5:$A$264,$A27,'Stock by Location'!$E$5:$E$264,G$4)</f>
        <v>3</v>
      </c>
      <c r="H27" s="14" t="n">
        <f aca="false">SUM(C27:G27)</f>
        <v>22</v>
      </c>
      <c r="I27" s="12" t="n">
        <f aca="false">INDEX(Products!$J$5:$J$93,MATCH(A27,Products!$A$5:$A$93,0))</f>
        <v>14800</v>
      </c>
      <c r="J27" s="12" t="n">
        <f aca="false">H27*I27</f>
        <v>325600</v>
      </c>
    </row>
    <row r="28" customFormat="false" ht="15" hidden="false" customHeight="false" outlineLevel="0" collapsed="false">
      <c r="A28" s="10" t="s">
        <v>246</v>
      </c>
      <c r="B28" s="10" t="s">
        <v>247</v>
      </c>
      <c r="C28" s="23" t="n">
        <f aca="false">SUMIFS('Stock by Location'!$G$5:$G$264,'Stock by Location'!$A$5:$A$264,$A28,'Stock by Location'!$E$5:$E$264,C$4)</f>
        <v>4</v>
      </c>
      <c r="D28" s="23" t="n">
        <f aca="false">SUMIFS('Stock by Location'!$G$5:$G$264,'Stock by Location'!$A$5:$A$264,$A28,'Stock by Location'!$E$5:$E$264,D$4)</f>
        <v>2</v>
      </c>
      <c r="E28" s="23" t="n">
        <f aca="false">SUMIFS('Stock by Location'!$G$5:$G$264,'Stock by Location'!$A$5:$A$264,$A28,'Stock by Location'!$E$5:$E$264,E$4)</f>
        <v>2</v>
      </c>
      <c r="F28" s="23" t="n">
        <f aca="false">SUMIFS('Stock by Location'!$G$5:$G$264,'Stock by Location'!$A$5:$A$264,$A28,'Stock by Location'!$E$5:$E$264,F$4)</f>
        <v>1</v>
      </c>
      <c r="G28" s="23" t="n">
        <f aca="false">SUMIFS('Stock by Location'!$G$5:$G$264,'Stock by Location'!$A$5:$A$264,$A28,'Stock by Location'!$E$5:$E$264,G$4)</f>
        <v>1</v>
      </c>
      <c r="H28" s="14" t="n">
        <f aca="false">SUM(C28:G28)</f>
        <v>10</v>
      </c>
      <c r="I28" s="12" t="n">
        <f aca="false">INDEX(Products!$J$5:$J$93,MATCH(A28,Products!$A$5:$A$93,0))</f>
        <v>28800</v>
      </c>
      <c r="J28" s="12" t="n">
        <f aca="false">H28*I28</f>
        <v>288000</v>
      </c>
    </row>
    <row r="29" customFormat="false" ht="15" hidden="false" customHeight="false" outlineLevel="0" collapsed="false">
      <c r="A29" s="10" t="s">
        <v>249</v>
      </c>
      <c r="B29" s="10" t="s">
        <v>250</v>
      </c>
      <c r="C29" s="23" t="n">
        <f aca="false">SUMIFS('Stock by Location'!$G$5:$G$264,'Stock by Location'!$A$5:$A$264,$A29,'Stock by Location'!$E$5:$E$264,C$4)</f>
        <v>9</v>
      </c>
      <c r="D29" s="23" t="n">
        <f aca="false">SUMIFS('Stock by Location'!$G$5:$G$264,'Stock by Location'!$A$5:$A$264,$A29,'Stock by Location'!$E$5:$E$264,D$4)</f>
        <v>5</v>
      </c>
      <c r="E29" s="23" t="n">
        <f aca="false">SUMIFS('Stock by Location'!$G$5:$G$264,'Stock by Location'!$A$5:$A$264,$A29,'Stock by Location'!$E$5:$E$264,E$4)</f>
        <v>4</v>
      </c>
      <c r="F29" s="23" t="n">
        <f aca="false">SUMIFS('Stock by Location'!$G$5:$G$264,'Stock by Location'!$A$5:$A$264,$A29,'Stock by Location'!$E$5:$E$264,F$4)</f>
        <v>3</v>
      </c>
      <c r="G29" s="23" t="n">
        <f aca="false">SUMIFS('Stock by Location'!$G$5:$G$264,'Stock by Location'!$A$5:$A$264,$A29,'Stock by Location'!$E$5:$E$264,G$4)</f>
        <v>4</v>
      </c>
      <c r="H29" s="14" t="n">
        <f aca="false">SUM(C29:G29)</f>
        <v>25</v>
      </c>
      <c r="I29" s="12" t="n">
        <f aca="false">INDEX(Products!$J$5:$J$93,MATCH(A29,Products!$A$5:$A$93,0))</f>
        <v>13450</v>
      </c>
      <c r="J29" s="12" t="n">
        <f aca="false">H29*I29</f>
        <v>336250</v>
      </c>
    </row>
    <row r="30" customFormat="false" ht="15" hidden="false" customHeight="false" outlineLevel="0" collapsed="false">
      <c r="A30" s="10" t="s">
        <v>252</v>
      </c>
      <c r="B30" s="10" t="s">
        <v>253</v>
      </c>
      <c r="C30" s="23" t="n">
        <f aca="false">SUMIFS('Stock by Location'!$G$5:$G$264,'Stock by Location'!$A$5:$A$264,$A30,'Stock by Location'!$E$5:$E$264,C$4)</f>
        <v>14</v>
      </c>
      <c r="D30" s="23" t="n">
        <f aca="false">SUMIFS('Stock by Location'!$G$5:$G$264,'Stock by Location'!$A$5:$A$264,$A30,'Stock by Location'!$E$5:$E$264,D$4)</f>
        <v>8</v>
      </c>
      <c r="E30" s="23" t="n">
        <f aca="false">SUMIFS('Stock by Location'!$G$5:$G$264,'Stock by Location'!$A$5:$A$264,$A30,'Stock by Location'!$E$5:$E$264,E$4)</f>
        <v>7</v>
      </c>
      <c r="F30" s="23" t="n">
        <f aca="false">SUMIFS('Stock by Location'!$G$5:$G$264,'Stock by Location'!$A$5:$A$264,$A30,'Stock by Location'!$E$5:$E$264,F$4)</f>
        <v>5</v>
      </c>
      <c r="G30" s="23" t="n">
        <f aca="false">SUMIFS('Stock by Location'!$G$5:$G$264,'Stock by Location'!$A$5:$A$264,$A30,'Stock by Location'!$E$5:$E$264,G$4)</f>
        <v>6</v>
      </c>
      <c r="H30" s="14" t="n">
        <f aca="false">SUM(C30:G30)</f>
        <v>40</v>
      </c>
      <c r="I30" s="12" t="n">
        <f aca="false">INDEX(Products!$J$5:$J$93,MATCH(A30,Products!$A$5:$A$93,0))</f>
        <v>4880</v>
      </c>
      <c r="J30" s="12" t="n">
        <f aca="false">H30*I30</f>
        <v>195200</v>
      </c>
    </row>
    <row r="31" customFormat="false" ht="15" hidden="false" customHeight="false" outlineLevel="0" collapsed="false">
      <c r="A31" s="10" t="s">
        <v>255</v>
      </c>
      <c r="B31" s="10" t="s">
        <v>256</v>
      </c>
      <c r="C31" s="23" t="n">
        <f aca="false">SUMIFS('Stock by Location'!$G$5:$G$264,'Stock by Location'!$A$5:$A$264,$A31,'Stock by Location'!$E$5:$E$264,C$4)</f>
        <v>12</v>
      </c>
      <c r="D31" s="23" t="n">
        <f aca="false">SUMIFS('Stock by Location'!$G$5:$G$264,'Stock by Location'!$A$5:$A$264,$A31,'Stock by Location'!$E$5:$E$264,D$4)</f>
        <v>7</v>
      </c>
      <c r="E31" s="23" t="n">
        <f aca="false">SUMIFS('Stock by Location'!$G$5:$G$264,'Stock by Location'!$A$5:$A$264,$A31,'Stock by Location'!$E$5:$E$264,E$4)</f>
        <v>7</v>
      </c>
      <c r="F31" s="23" t="n">
        <f aca="false">SUMIFS('Stock by Location'!$G$5:$G$264,'Stock by Location'!$A$5:$A$264,$A31,'Stock by Location'!$E$5:$E$264,F$4)</f>
        <v>4</v>
      </c>
      <c r="G31" s="23" t="n">
        <f aca="false">SUMIFS('Stock by Location'!$G$5:$G$264,'Stock by Location'!$A$5:$A$264,$A31,'Stock by Location'!$E$5:$E$264,G$4)</f>
        <v>5</v>
      </c>
      <c r="H31" s="14" t="n">
        <f aca="false">SUM(C31:G31)</f>
        <v>35</v>
      </c>
      <c r="I31" s="12" t="n">
        <f aca="false">INDEX(Products!$J$5:$J$93,MATCH(A31,Products!$A$5:$A$93,0))</f>
        <v>7100</v>
      </c>
      <c r="J31" s="12" t="n">
        <f aca="false">H31*I31</f>
        <v>248500</v>
      </c>
    </row>
    <row r="32" customFormat="false" ht="15" hidden="false" customHeight="false" outlineLevel="0" collapsed="false">
      <c r="A32" s="10" t="s">
        <v>258</v>
      </c>
      <c r="B32" s="10" t="s">
        <v>259</v>
      </c>
      <c r="C32" s="23" t="n">
        <f aca="false">SUMIFS('Stock by Location'!$G$5:$G$264,'Stock by Location'!$A$5:$A$264,$A32,'Stock by Location'!$E$5:$E$264,C$4)</f>
        <v>18</v>
      </c>
      <c r="D32" s="23" t="n">
        <f aca="false">SUMIFS('Stock by Location'!$G$5:$G$264,'Stock by Location'!$A$5:$A$264,$A32,'Stock by Location'!$E$5:$E$264,D$4)</f>
        <v>10</v>
      </c>
      <c r="E32" s="23" t="n">
        <f aca="false">SUMIFS('Stock by Location'!$G$5:$G$264,'Stock by Location'!$A$5:$A$264,$A32,'Stock by Location'!$E$5:$E$264,E$4)</f>
        <v>9</v>
      </c>
      <c r="F32" s="23" t="n">
        <f aca="false">SUMIFS('Stock by Location'!$G$5:$G$264,'Stock by Location'!$A$5:$A$264,$A32,'Stock by Location'!$E$5:$E$264,F$4)</f>
        <v>6</v>
      </c>
      <c r="G32" s="23" t="n">
        <f aca="false">SUMIFS('Stock by Location'!$G$5:$G$264,'Stock by Location'!$A$5:$A$264,$A32,'Stock by Location'!$E$5:$E$264,G$4)</f>
        <v>7</v>
      </c>
      <c r="H32" s="14" t="n">
        <f aca="false">SUM(C32:G32)</f>
        <v>50</v>
      </c>
      <c r="I32" s="12" t="n">
        <f aca="false">INDEX(Products!$J$5:$J$93,MATCH(A32,Products!$A$5:$A$93,0))</f>
        <v>3040</v>
      </c>
      <c r="J32" s="12" t="n">
        <f aca="false">H32*I32</f>
        <v>152000</v>
      </c>
    </row>
    <row r="33" customFormat="false" ht="15" hidden="false" customHeight="false" outlineLevel="0" collapsed="false">
      <c r="A33" s="10" t="s">
        <v>261</v>
      </c>
      <c r="B33" s="10" t="s">
        <v>262</v>
      </c>
      <c r="C33" s="23" t="n">
        <f aca="false">SUMIFS('Stock by Location'!$G$5:$G$264,'Stock by Location'!$A$5:$A$264,$A33,'Stock by Location'!$E$5:$E$264,C$4)</f>
        <v>16</v>
      </c>
      <c r="D33" s="23" t="n">
        <f aca="false">SUMIFS('Stock by Location'!$G$5:$G$264,'Stock by Location'!$A$5:$A$264,$A33,'Stock by Location'!$E$5:$E$264,D$4)</f>
        <v>9</v>
      </c>
      <c r="E33" s="23" t="n">
        <f aca="false">SUMIFS('Stock by Location'!$G$5:$G$264,'Stock by Location'!$A$5:$A$264,$A33,'Stock by Location'!$E$5:$E$264,E$4)</f>
        <v>8</v>
      </c>
      <c r="F33" s="23" t="n">
        <f aca="false">SUMIFS('Stock by Location'!$G$5:$G$264,'Stock by Location'!$A$5:$A$264,$A33,'Stock by Location'!$E$5:$E$264,F$4)</f>
        <v>5</v>
      </c>
      <c r="G33" s="23" t="n">
        <f aca="false">SUMIFS('Stock by Location'!$G$5:$G$264,'Stock by Location'!$A$5:$A$264,$A33,'Stock by Location'!$E$5:$E$264,G$4)</f>
        <v>7</v>
      </c>
      <c r="H33" s="14" t="n">
        <f aca="false">SUM(C33:G33)</f>
        <v>45</v>
      </c>
      <c r="I33" s="12" t="n">
        <f aca="false">INDEX(Products!$J$5:$J$93,MATCH(A33,Products!$A$5:$A$93,0))</f>
        <v>18050</v>
      </c>
      <c r="J33" s="12" t="n">
        <f aca="false">H33*I33</f>
        <v>812250</v>
      </c>
    </row>
    <row r="34" customFormat="false" ht="15" hidden="false" customHeight="false" outlineLevel="0" collapsed="false">
      <c r="A34" s="10" t="s">
        <v>264</v>
      </c>
      <c r="B34" s="10" t="s">
        <v>265</v>
      </c>
      <c r="C34" s="23" t="n">
        <f aca="false">SUMIFS('Stock by Location'!$G$5:$G$264,'Stock by Location'!$A$5:$A$264,$A34,'Stock by Location'!$E$5:$E$264,C$4)</f>
        <v>13</v>
      </c>
      <c r="D34" s="23" t="n">
        <f aca="false">SUMIFS('Stock by Location'!$G$5:$G$264,'Stock by Location'!$A$5:$A$264,$A34,'Stock by Location'!$E$5:$E$264,D$4)</f>
        <v>8</v>
      </c>
      <c r="E34" s="23" t="n">
        <f aca="false">SUMIFS('Stock by Location'!$G$5:$G$264,'Stock by Location'!$A$5:$A$264,$A34,'Stock by Location'!$E$5:$E$264,E$4)</f>
        <v>7</v>
      </c>
      <c r="F34" s="23" t="n">
        <f aca="false">SUMIFS('Stock by Location'!$G$5:$G$264,'Stock by Location'!$A$5:$A$264,$A34,'Stock by Location'!$E$5:$E$264,F$4)</f>
        <v>4</v>
      </c>
      <c r="G34" s="23" t="n">
        <f aca="false">SUMIFS('Stock by Location'!$G$5:$G$264,'Stock by Location'!$A$5:$A$264,$A34,'Stock by Location'!$E$5:$E$264,G$4)</f>
        <v>6</v>
      </c>
      <c r="H34" s="14" t="n">
        <f aca="false">SUM(C34:G34)</f>
        <v>38</v>
      </c>
      <c r="I34" s="12" t="n">
        <f aca="false">INDEX(Products!$J$5:$J$93,MATCH(A34,Products!$A$5:$A$93,0))</f>
        <v>16150</v>
      </c>
      <c r="J34" s="12" t="n">
        <f aca="false">H34*I34</f>
        <v>613700</v>
      </c>
    </row>
    <row r="35" customFormat="false" ht="15" hidden="false" customHeight="false" outlineLevel="0" collapsed="false">
      <c r="A35" s="10" t="s">
        <v>267</v>
      </c>
      <c r="B35" s="10" t="s">
        <v>268</v>
      </c>
      <c r="C35" s="23" t="n">
        <f aca="false">SUMIFS('Stock by Location'!$G$5:$G$264,'Stock by Location'!$A$5:$A$264,$A35,'Stock by Location'!$E$5:$E$264,C$4)</f>
        <v>21</v>
      </c>
      <c r="D35" s="23" t="n">
        <f aca="false">SUMIFS('Stock by Location'!$G$5:$G$264,'Stock by Location'!$A$5:$A$264,$A35,'Stock by Location'!$E$5:$E$264,D$4)</f>
        <v>12</v>
      </c>
      <c r="E35" s="23" t="n">
        <f aca="false">SUMIFS('Stock by Location'!$G$5:$G$264,'Stock by Location'!$A$5:$A$264,$A35,'Stock by Location'!$E$5:$E$264,E$4)</f>
        <v>11</v>
      </c>
      <c r="F35" s="23" t="n">
        <f aca="false">SUMIFS('Stock by Location'!$G$5:$G$264,'Stock by Location'!$A$5:$A$264,$A35,'Stock by Location'!$E$5:$E$264,F$4)</f>
        <v>7</v>
      </c>
      <c r="G35" s="23" t="n">
        <f aca="false">SUMIFS('Stock by Location'!$G$5:$G$264,'Stock by Location'!$A$5:$A$264,$A35,'Stock by Location'!$E$5:$E$264,G$4)</f>
        <v>9</v>
      </c>
      <c r="H35" s="14" t="n">
        <f aca="false">SUM(C35:G35)</f>
        <v>60</v>
      </c>
      <c r="I35" s="12" t="n">
        <f aca="false">INDEX(Products!$J$5:$J$93,MATCH(A35,Products!$A$5:$A$93,0))</f>
        <v>11350</v>
      </c>
      <c r="J35" s="12" t="n">
        <f aca="false">H35*I35</f>
        <v>681000</v>
      </c>
    </row>
    <row r="36" customFormat="false" ht="15" hidden="false" customHeight="false" outlineLevel="0" collapsed="false">
      <c r="A36" s="10" t="s">
        <v>270</v>
      </c>
      <c r="B36" s="10" t="s">
        <v>271</v>
      </c>
      <c r="C36" s="23" t="n">
        <f aca="false">SUMIFS('Stock by Location'!$G$5:$G$264,'Stock by Location'!$A$5:$A$264,$A36,'Stock by Location'!$E$5:$E$264,C$4)</f>
        <v>26</v>
      </c>
      <c r="D36" s="23" t="n">
        <f aca="false">SUMIFS('Stock by Location'!$G$5:$G$264,'Stock by Location'!$A$5:$A$264,$A36,'Stock by Location'!$E$5:$E$264,D$4)</f>
        <v>15</v>
      </c>
      <c r="E36" s="23" t="n">
        <f aca="false">SUMIFS('Stock by Location'!$G$5:$G$264,'Stock by Location'!$A$5:$A$264,$A36,'Stock by Location'!$E$5:$E$264,E$4)</f>
        <v>14</v>
      </c>
      <c r="F36" s="23" t="n">
        <f aca="false">SUMIFS('Stock by Location'!$G$5:$G$264,'Stock by Location'!$A$5:$A$264,$A36,'Stock by Location'!$E$5:$E$264,F$4)</f>
        <v>9</v>
      </c>
      <c r="G36" s="23" t="n">
        <f aca="false">SUMIFS('Stock by Location'!$G$5:$G$264,'Stock by Location'!$A$5:$A$264,$A36,'Stock by Location'!$E$5:$E$264,G$4)</f>
        <v>11</v>
      </c>
      <c r="H36" s="14" t="n">
        <f aca="false">SUM(C36:G36)</f>
        <v>75</v>
      </c>
      <c r="I36" s="12" t="n">
        <f aca="false">INDEX(Products!$J$5:$J$93,MATCH(A36,Products!$A$5:$A$93,0))</f>
        <v>5900</v>
      </c>
      <c r="J36" s="12" t="n">
        <f aca="false">H36*I36</f>
        <v>442500</v>
      </c>
    </row>
    <row r="37" customFormat="false" ht="15" hidden="false" customHeight="false" outlineLevel="0" collapsed="false">
      <c r="A37" s="10" t="s">
        <v>273</v>
      </c>
      <c r="B37" s="10" t="s">
        <v>274</v>
      </c>
      <c r="C37" s="23" t="n">
        <f aca="false">SUMIFS('Stock by Location'!$G$5:$G$264,'Stock by Location'!$A$5:$A$264,$A37,'Stock by Location'!$E$5:$E$264,C$4)</f>
        <v>3</v>
      </c>
      <c r="D37" s="23" t="n">
        <f aca="false">SUMIFS('Stock by Location'!$G$5:$G$264,'Stock by Location'!$A$5:$A$264,$A37,'Stock by Location'!$E$5:$E$264,D$4)</f>
        <v>2</v>
      </c>
      <c r="E37" s="23" t="n">
        <f aca="false">SUMIFS('Stock by Location'!$G$5:$G$264,'Stock by Location'!$A$5:$A$264,$A37,'Stock by Location'!$E$5:$E$264,E$4)</f>
        <v>1</v>
      </c>
      <c r="F37" s="23" t="n">
        <f aca="false">SUMIFS('Stock by Location'!$G$5:$G$264,'Stock by Location'!$A$5:$A$264,$A37,'Stock by Location'!$E$5:$E$264,F$4)</f>
        <v>1</v>
      </c>
      <c r="G37" s="23" t="n">
        <f aca="false">SUMIFS('Stock by Location'!$G$5:$G$264,'Stock by Location'!$A$5:$A$264,$A37,'Stock by Location'!$E$5:$E$264,G$4)</f>
        <v>1</v>
      </c>
      <c r="H37" s="14" t="n">
        <f aca="false">SUM(C37:G37)</f>
        <v>8</v>
      </c>
      <c r="I37" s="12" t="n">
        <f aca="false">INDEX(Products!$J$5:$J$93,MATCH(A37,Products!$A$5:$A$93,0))</f>
        <v>52100</v>
      </c>
      <c r="J37" s="12" t="n">
        <f aca="false">H37*I37</f>
        <v>416800</v>
      </c>
    </row>
    <row r="38" customFormat="false" ht="15" hidden="false" customHeight="false" outlineLevel="0" collapsed="false">
      <c r="A38" s="10" t="s">
        <v>276</v>
      </c>
      <c r="B38" s="10" t="s">
        <v>277</v>
      </c>
      <c r="C38" s="23" t="n">
        <f aca="false">SUMIFS('Stock by Location'!$G$5:$G$264,'Stock by Location'!$A$5:$A$264,$A38,'Stock by Location'!$E$5:$E$264,C$4)</f>
        <v>11</v>
      </c>
      <c r="D38" s="23" t="n">
        <f aca="false">SUMIFS('Stock by Location'!$G$5:$G$264,'Stock by Location'!$A$5:$A$264,$A38,'Stock by Location'!$E$5:$E$264,D$4)</f>
        <v>6</v>
      </c>
      <c r="E38" s="23" t="n">
        <f aca="false">SUMIFS('Stock by Location'!$G$5:$G$264,'Stock by Location'!$A$5:$A$264,$A38,'Stock by Location'!$E$5:$E$264,E$4)</f>
        <v>5</v>
      </c>
      <c r="F38" s="23" t="n">
        <f aca="false">SUMIFS('Stock by Location'!$G$5:$G$264,'Stock by Location'!$A$5:$A$264,$A38,'Stock by Location'!$E$5:$E$264,F$4)</f>
        <v>4</v>
      </c>
      <c r="G38" s="23" t="n">
        <f aca="false">SUMIFS('Stock by Location'!$G$5:$G$264,'Stock by Location'!$A$5:$A$264,$A38,'Stock by Location'!$E$5:$E$264,G$4)</f>
        <v>4</v>
      </c>
      <c r="H38" s="14" t="n">
        <f aca="false">SUM(C38:G38)</f>
        <v>30</v>
      </c>
      <c r="I38" s="12" t="n">
        <f aca="false">INDEX(Products!$J$5:$J$93,MATCH(A38,Products!$A$5:$A$93,0))</f>
        <v>9400</v>
      </c>
      <c r="J38" s="12" t="n">
        <f aca="false">H38*I38</f>
        <v>282000</v>
      </c>
    </row>
    <row r="39" customFormat="false" ht="15" hidden="false" customHeight="false" outlineLevel="0" collapsed="false">
      <c r="A39" s="10" t="s">
        <v>280</v>
      </c>
      <c r="B39" s="10" t="s">
        <v>281</v>
      </c>
      <c r="C39" s="23" t="n">
        <f aca="false">SUMIFS('Stock by Location'!$G$5:$G$264,'Stock by Location'!$A$5:$A$264,$A39,'Stock by Location'!$E$5:$E$264,C$4)</f>
        <v>31</v>
      </c>
      <c r="D39" s="23" t="n">
        <f aca="false">SUMIFS('Stock by Location'!$G$5:$G$264,'Stock by Location'!$A$5:$A$264,$A39,'Stock by Location'!$E$5:$E$264,D$4)</f>
        <v>18</v>
      </c>
      <c r="E39" s="23" t="n">
        <f aca="false">SUMIFS('Stock by Location'!$G$5:$G$264,'Stock by Location'!$A$5:$A$264,$A39,'Stock by Location'!$E$5:$E$264,E$4)</f>
        <v>16</v>
      </c>
      <c r="F39" s="23" t="n">
        <f aca="false">SUMIFS('Stock by Location'!$G$5:$G$264,'Stock by Location'!$A$5:$A$264,$A39,'Stock by Location'!$E$5:$E$264,F$4)</f>
        <v>11</v>
      </c>
      <c r="G39" s="23" t="n">
        <f aca="false">SUMIFS('Stock by Location'!$G$5:$G$264,'Stock by Location'!$A$5:$A$264,$A39,'Stock by Location'!$E$5:$E$264,G$4)</f>
        <v>14</v>
      </c>
      <c r="H39" s="14" t="n">
        <f aca="false">SUM(C39:G39)</f>
        <v>90</v>
      </c>
      <c r="I39" s="12" t="n">
        <f aca="false">INDEX(Products!$J$5:$J$93,MATCH(A39,Products!$A$5:$A$93,0))</f>
        <v>1370</v>
      </c>
      <c r="J39" s="12" t="n">
        <f aca="false">H39*I39</f>
        <v>123300</v>
      </c>
    </row>
    <row r="40" customFormat="false" ht="15" hidden="false" customHeight="false" outlineLevel="0" collapsed="false">
      <c r="A40" s="10" t="s">
        <v>283</v>
      </c>
      <c r="B40" s="10" t="s">
        <v>284</v>
      </c>
      <c r="C40" s="23" t="n">
        <f aca="false">SUMIFS('Stock by Location'!$G$5:$G$264,'Stock by Location'!$A$5:$A$264,$A40,'Stock by Location'!$E$5:$E$264,C$4)</f>
        <v>18</v>
      </c>
      <c r="D40" s="23" t="n">
        <f aca="false">SUMIFS('Stock by Location'!$G$5:$G$264,'Stock by Location'!$A$5:$A$264,$A40,'Stock by Location'!$E$5:$E$264,D$4)</f>
        <v>10</v>
      </c>
      <c r="E40" s="23" t="n">
        <f aca="false">SUMIFS('Stock by Location'!$G$5:$G$264,'Stock by Location'!$A$5:$A$264,$A40,'Stock by Location'!$E$5:$E$264,E$4)</f>
        <v>9</v>
      </c>
      <c r="F40" s="23" t="n">
        <f aca="false">SUMIFS('Stock by Location'!$G$5:$G$264,'Stock by Location'!$A$5:$A$264,$A40,'Stock by Location'!$E$5:$E$264,F$4)</f>
        <v>6</v>
      </c>
      <c r="G40" s="23" t="n">
        <f aca="false">SUMIFS('Stock by Location'!$G$5:$G$264,'Stock by Location'!$A$5:$A$264,$A40,'Stock by Location'!$E$5:$E$264,G$4)</f>
        <v>7</v>
      </c>
      <c r="H40" s="14" t="n">
        <f aca="false">SUM(C40:G40)</f>
        <v>50</v>
      </c>
      <c r="I40" s="12" t="n">
        <f aca="false">INDEX(Products!$J$5:$J$93,MATCH(A40,Products!$A$5:$A$93,0))</f>
        <v>6800</v>
      </c>
      <c r="J40" s="12" t="n">
        <f aca="false">H40*I40</f>
        <v>340000</v>
      </c>
    </row>
    <row r="41" customFormat="false" ht="15" hidden="false" customHeight="false" outlineLevel="0" collapsed="false">
      <c r="A41" s="10" t="s">
        <v>286</v>
      </c>
      <c r="B41" s="10" t="s">
        <v>287</v>
      </c>
      <c r="C41" s="23" t="n">
        <f aca="false">SUMIFS('Stock by Location'!$G$5:$G$264,'Stock by Location'!$A$5:$A$264,$A41,'Stock by Location'!$E$5:$E$264,C$4)</f>
        <v>12</v>
      </c>
      <c r="D41" s="23" t="n">
        <f aca="false">SUMIFS('Stock by Location'!$G$5:$G$264,'Stock by Location'!$A$5:$A$264,$A41,'Stock by Location'!$E$5:$E$264,D$4)</f>
        <v>7</v>
      </c>
      <c r="E41" s="23" t="n">
        <f aca="false">SUMIFS('Stock by Location'!$G$5:$G$264,'Stock by Location'!$A$5:$A$264,$A41,'Stock by Location'!$E$5:$E$264,E$4)</f>
        <v>7</v>
      </c>
      <c r="F41" s="23" t="n">
        <f aca="false">SUMIFS('Stock by Location'!$G$5:$G$264,'Stock by Location'!$A$5:$A$264,$A41,'Stock by Location'!$E$5:$E$264,F$4)</f>
        <v>4</v>
      </c>
      <c r="G41" s="23" t="n">
        <f aca="false">SUMIFS('Stock by Location'!$G$5:$G$264,'Stock by Location'!$A$5:$A$264,$A41,'Stock by Location'!$E$5:$E$264,G$4)</f>
        <v>5</v>
      </c>
      <c r="H41" s="14" t="n">
        <f aca="false">SUM(C41:G41)</f>
        <v>35</v>
      </c>
      <c r="I41" s="12" t="n">
        <f aca="false">INDEX(Products!$J$5:$J$93,MATCH(A41,Products!$A$5:$A$93,0))</f>
        <v>7550</v>
      </c>
      <c r="J41" s="12" t="n">
        <f aca="false">H41*I41</f>
        <v>264250</v>
      </c>
    </row>
    <row r="42" customFormat="false" ht="15" hidden="false" customHeight="false" outlineLevel="0" collapsed="false">
      <c r="A42" s="10" t="s">
        <v>289</v>
      </c>
      <c r="B42" s="10" t="s">
        <v>290</v>
      </c>
      <c r="C42" s="23" t="n">
        <f aca="false">SUMIFS('Stock by Location'!$G$5:$G$264,'Stock by Location'!$A$5:$A$264,$A42,'Stock by Location'!$E$5:$E$264,C$4)</f>
        <v>39</v>
      </c>
      <c r="D42" s="23" t="n">
        <f aca="false">SUMIFS('Stock by Location'!$G$5:$G$264,'Stock by Location'!$A$5:$A$264,$A42,'Stock by Location'!$E$5:$E$264,D$4)</f>
        <v>22</v>
      </c>
      <c r="E42" s="23" t="n">
        <f aca="false">SUMIFS('Stock by Location'!$G$5:$G$264,'Stock by Location'!$A$5:$A$264,$A42,'Stock by Location'!$E$5:$E$264,E$4)</f>
        <v>20</v>
      </c>
      <c r="F42" s="23" t="n">
        <f aca="false">SUMIFS('Stock by Location'!$G$5:$G$264,'Stock by Location'!$A$5:$A$264,$A42,'Stock by Location'!$E$5:$E$264,F$4)</f>
        <v>13</v>
      </c>
      <c r="G42" s="23" t="n">
        <f aca="false">SUMIFS('Stock by Location'!$G$5:$G$264,'Stock by Location'!$A$5:$A$264,$A42,'Stock by Location'!$E$5:$E$264,G$4)</f>
        <v>16</v>
      </c>
      <c r="H42" s="14" t="n">
        <f aca="false">SUM(C42:G42)</f>
        <v>110</v>
      </c>
      <c r="I42" s="12" t="n">
        <f aca="false">INDEX(Products!$J$5:$J$93,MATCH(A42,Products!$A$5:$A$93,0))</f>
        <v>2150</v>
      </c>
      <c r="J42" s="12" t="n">
        <f aca="false">H42*I42</f>
        <v>236500</v>
      </c>
    </row>
    <row r="43" customFormat="false" ht="15" hidden="false" customHeight="false" outlineLevel="0" collapsed="false">
      <c r="A43" s="10" t="s">
        <v>292</v>
      </c>
      <c r="B43" s="10" t="s">
        <v>293</v>
      </c>
      <c r="C43" s="23" t="n">
        <f aca="false">SUMIFS('Stock by Location'!$G$5:$G$264,'Stock by Location'!$A$5:$A$264,$A43,'Stock by Location'!$E$5:$E$264,C$4)</f>
        <v>9</v>
      </c>
      <c r="D43" s="23" t="n">
        <f aca="false">SUMIFS('Stock by Location'!$G$5:$G$264,'Stock by Location'!$A$5:$A$264,$A43,'Stock by Location'!$E$5:$E$264,D$4)</f>
        <v>5</v>
      </c>
      <c r="E43" s="23" t="n">
        <f aca="false">SUMIFS('Stock by Location'!$G$5:$G$264,'Stock by Location'!$A$5:$A$264,$A43,'Stock by Location'!$E$5:$E$264,E$4)</f>
        <v>4</v>
      </c>
      <c r="F43" s="23" t="n">
        <f aca="false">SUMIFS('Stock by Location'!$G$5:$G$264,'Stock by Location'!$A$5:$A$264,$A43,'Stock by Location'!$E$5:$E$264,F$4)</f>
        <v>3</v>
      </c>
      <c r="G43" s="23" t="n">
        <f aca="false">SUMIFS('Stock by Location'!$G$5:$G$264,'Stock by Location'!$A$5:$A$264,$A43,'Stock by Location'!$E$5:$E$264,G$4)</f>
        <v>4</v>
      </c>
      <c r="H43" s="14" t="n">
        <f aca="false">SUM(C43:G43)</f>
        <v>25</v>
      </c>
      <c r="I43" s="12" t="n">
        <f aca="false">INDEX(Products!$J$5:$J$93,MATCH(A43,Products!$A$5:$A$93,0))</f>
        <v>8000</v>
      </c>
      <c r="J43" s="12" t="n">
        <f aca="false">H43*I43</f>
        <v>200000</v>
      </c>
    </row>
    <row r="44" customFormat="false" ht="15" hidden="false" customHeight="false" outlineLevel="0" collapsed="false">
      <c r="A44" s="10" t="s">
        <v>295</v>
      </c>
      <c r="B44" s="10" t="s">
        <v>296</v>
      </c>
      <c r="C44" s="23" t="n">
        <f aca="false">SUMIFS('Stock by Location'!$G$5:$G$264,'Stock by Location'!$A$5:$A$264,$A44,'Stock by Location'!$E$5:$E$264,C$4)</f>
        <v>14</v>
      </c>
      <c r="D44" s="23" t="n">
        <f aca="false">SUMIFS('Stock by Location'!$G$5:$G$264,'Stock by Location'!$A$5:$A$264,$A44,'Stock by Location'!$E$5:$E$264,D$4)</f>
        <v>8</v>
      </c>
      <c r="E44" s="23" t="n">
        <f aca="false">SUMIFS('Stock by Location'!$G$5:$G$264,'Stock by Location'!$A$5:$A$264,$A44,'Stock by Location'!$E$5:$E$264,E$4)</f>
        <v>7</v>
      </c>
      <c r="F44" s="23" t="n">
        <f aca="false">SUMIFS('Stock by Location'!$G$5:$G$264,'Stock by Location'!$A$5:$A$264,$A44,'Stock by Location'!$E$5:$E$264,F$4)</f>
        <v>5</v>
      </c>
      <c r="G44" s="23" t="n">
        <f aca="false">SUMIFS('Stock by Location'!$G$5:$G$264,'Stock by Location'!$A$5:$A$264,$A44,'Stock by Location'!$E$5:$E$264,G$4)</f>
        <v>6</v>
      </c>
      <c r="H44" s="14" t="n">
        <f aca="false">SUM(C44:G44)</f>
        <v>40</v>
      </c>
      <c r="I44" s="12" t="n">
        <f aca="false">INDEX(Products!$J$5:$J$93,MATCH(A44,Products!$A$5:$A$93,0))</f>
        <v>5750</v>
      </c>
      <c r="J44" s="12" t="n">
        <f aca="false">H44*I44</f>
        <v>230000</v>
      </c>
    </row>
    <row r="45" customFormat="false" ht="15" hidden="false" customHeight="false" outlineLevel="0" collapsed="false">
      <c r="A45" s="10" t="s">
        <v>298</v>
      </c>
      <c r="B45" s="10" t="s">
        <v>299</v>
      </c>
      <c r="C45" s="23" t="n">
        <f aca="false">SUMIFS('Stock by Location'!$G$5:$G$264,'Stock by Location'!$A$5:$A$264,$A45,'Stock by Location'!$E$5:$E$264,C$4)</f>
        <v>120</v>
      </c>
      <c r="D45" s="23" t="n">
        <f aca="false">SUMIFS('Stock by Location'!$G$5:$G$264,'Stock by Location'!$A$5:$A$264,$A45,'Stock by Location'!$E$5:$E$264,D$4)</f>
        <v>0</v>
      </c>
      <c r="E45" s="23" t="n">
        <f aca="false">SUMIFS('Stock by Location'!$G$5:$G$264,'Stock by Location'!$A$5:$A$264,$A45,'Stock by Location'!$E$5:$E$264,E$4)</f>
        <v>0</v>
      </c>
      <c r="F45" s="23" t="n">
        <f aca="false">SUMIFS('Stock by Location'!$G$5:$G$264,'Stock by Location'!$A$5:$A$264,$A45,'Stock by Location'!$E$5:$E$264,F$4)</f>
        <v>0</v>
      </c>
      <c r="G45" s="23" t="n">
        <f aca="false">SUMIFS('Stock by Location'!$G$5:$G$264,'Stock by Location'!$A$5:$A$264,$A45,'Stock by Location'!$E$5:$E$264,G$4)</f>
        <v>0</v>
      </c>
      <c r="H45" s="14" t="n">
        <f aca="false">SUM(C45:G45)</f>
        <v>120</v>
      </c>
      <c r="I45" s="12" t="n">
        <f aca="false">INDEX(Products!$J$5:$J$93,MATCH(A45,Products!$A$5:$A$93,0))</f>
        <v>856.5</v>
      </c>
      <c r="J45" s="12" t="n">
        <f aca="false">H45*I45</f>
        <v>102780</v>
      </c>
    </row>
    <row r="46" customFormat="false" ht="15" hidden="false" customHeight="false" outlineLevel="0" collapsed="false">
      <c r="A46" s="10" t="s">
        <v>303</v>
      </c>
      <c r="B46" s="10" t="s">
        <v>304</v>
      </c>
      <c r="C46" s="23" t="n">
        <f aca="false">SUMIFS('Stock by Location'!$G$5:$G$264,'Stock by Location'!$A$5:$A$264,$A46,'Stock by Location'!$E$5:$E$264,C$4)</f>
        <v>200</v>
      </c>
      <c r="D46" s="23" t="n">
        <f aca="false">SUMIFS('Stock by Location'!$G$5:$G$264,'Stock by Location'!$A$5:$A$264,$A46,'Stock by Location'!$E$5:$E$264,D$4)</f>
        <v>0</v>
      </c>
      <c r="E46" s="23" t="n">
        <f aca="false">SUMIFS('Stock by Location'!$G$5:$G$264,'Stock by Location'!$A$5:$A$264,$A46,'Stock by Location'!$E$5:$E$264,E$4)</f>
        <v>0</v>
      </c>
      <c r="F46" s="23" t="n">
        <f aca="false">SUMIFS('Stock by Location'!$G$5:$G$264,'Stock by Location'!$A$5:$A$264,$A46,'Stock by Location'!$E$5:$E$264,F$4)</f>
        <v>0</v>
      </c>
      <c r="G46" s="23" t="n">
        <f aca="false">SUMIFS('Stock by Location'!$G$5:$G$264,'Stock by Location'!$A$5:$A$264,$A46,'Stock by Location'!$E$5:$E$264,G$4)</f>
        <v>0</v>
      </c>
      <c r="H46" s="14" t="n">
        <f aca="false">SUM(C46:G46)</f>
        <v>200</v>
      </c>
      <c r="I46" s="12" t="n">
        <f aca="false">INDEX(Products!$J$5:$J$93,MATCH(A46,Products!$A$5:$A$93,0))</f>
        <v>204</v>
      </c>
      <c r="J46" s="12" t="n">
        <f aca="false">H46*I46</f>
        <v>40800</v>
      </c>
    </row>
    <row r="47" customFormat="false" ht="15" hidden="false" customHeight="false" outlineLevel="0" collapsed="false">
      <c r="A47" s="10" t="s">
        <v>306</v>
      </c>
      <c r="B47" s="10" t="s">
        <v>307</v>
      </c>
      <c r="C47" s="23" t="n">
        <f aca="false">SUMIFS('Stock by Location'!$G$5:$G$264,'Stock by Location'!$A$5:$A$264,$A47,'Stock by Location'!$E$5:$E$264,C$4)</f>
        <v>85</v>
      </c>
      <c r="D47" s="23" t="n">
        <f aca="false">SUMIFS('Stock by Location'!$G$5:$G$264,'Stock by Location'!$A$5:$A$264,$A47,'Stock by Location'!$E$5:$E$264,D$4)</f>
        <v>0</v>
      </c>
      <c r="E47" s="23" t="n">
        <f aca="false">SUMIFS('Stock by Location'!$G$5:$G$264,'Stock by Location'!$A$5:$A$264,$A47,'Stock by Location'!$E$5:$E$264,E$4)</f>
        <v>0</v>
      </c>
      <c r="F47" s="23" t="n">
        <f aca="false">SUMIFS('Stock by Location'!$G$5:$G$264,'Stock by Location'!$A$5:$A$264,$A47,'Stock by Location'!$E$5:$E$264,F$4)</f>
        <v>0</v>
      </c>
      <c r="G47" s="23" t="n">
        <f aca="false">SUMIFS('Stock by Location'!$G$5:$G$264,'Stock by Location'!$A$5:$A$264,$A47,'Stock by Location'!$E$5:$E$264,G$4)</f>
        <v>0</v>
      </c>
      <c r="H47" s="14" t="n">
        <f aca="false">SUM(C47:G47)</f>
        <v>85</v>
      </c>
      <c r="I47" s="12" t="n">
        <f aca="false">INDEX(Products!$J$5:$J$93,MATCH(A47,Products!$A$5:$A$93,0))</f>
        <v>1377</v>
      </c>
      <c r="J47" s="12" t="n">
        <f aca="false">H47*I47</f>
        <v>117045</v>
      </c>
    </row>
    <row r="48" customFormat="false" ht="15" hidden="false" customHeight="false" outlineLevel="0" collapsed="false">
      <c r="A48" s="10" t="s">
        <v>309</v>
      </c>
      <c r="B48" s="10" t="s">
        <v>310</v>
      </c>
      <c r="C48" s="23" t="n">
        <f aca="false">SUMIFS('Stock by Location'!$G$5:$G$264,'Stock by Location'!$A$5:$A$264,$A48,'Stock by Location'!$E$5:$E$264,C$4)</f>
        <v>300</v>
      </c>
      <c r="D48" s="23" t="n">
        <f aca="false">SUMIFS('Stock by Location'!$G$5:$G$264,'Stock by Location'!$A$5:$A$264,$A48,'Stock by Location'!$E$5:$E$264,D$4)</f>
        <v>0</v>
      </c>
      <c r="E48" s="23" t="n">
        <f aca="false">SUMIFS('Stock by Location'!$G$5:$G$264,'Stock by Location'!$A$5:$A$264,$A48,'Stock by Location'!$E$5:$E$264,E$4)</f>
        <v>0</v>
      </c>
      <c r="F48" s="23" t="n">
        <f aca="false">SUMIFS('Stock by Location'!$G$5:$G$264,'Stock by Location'!$A$5:$A$264,$A48,'Stock by Location'!$E$5:$E$264,F$4)</f>
        <v>0</v>
      </c>
      <c r="G48" s="23" t="n">
        <f aca="false">SUMIFS('Stock by Location'!$G$5:$G$264,'Stock by Location'!$A$5:$A$264,$A48,'Stock by Location'!$E$5:$E$264,G$4)</f>
        <v>0</v>
      </c>
      <c r="H48" s="14" t="n">
        <f aca="false">SUM(C48:G48)</f>
        <v>300</v>
      </c>
      <c r="I48" s="12" t="n">
        <f aca="false">INDEX(Products!$J$5:$J$93,MATCH(A48,Products!$A$5:$A$93,0))</f>
        <v>451</v>
      </c>
      <c r="J48" s="12" t="n">
        <f aca="false">H48*I48</f>
        <v>135300</v>
      </c>
    </row>
    <row r="49" customFormat="false" ht="15" hidden="false" customHeight="false" outlineLevel="0" collapsed="false">
      <c r="A49" s="10" t="s">
        <v>312</v>
      </c>
      <c r="B49" s="10" t="s">
        <v>313</v>
      </c>
      <c r="C49" s="23" t="n">
        <f aca="false">SUMIFS('Stock by Location'!$G$5:$G$264,'Stock by Location'!$A$5:$A$264,$A49,'Stock by Location'!$E$5:$E$264,C$4)</f>
        <v>450</v>
      </c>
      <c r="D49" s="23" t="n">
        <f aca="false">SUMIFS('Stock by Location'!$G$5:$G$264,'Stock by Location'!$A$5:$A$264,$A49,'Stock by Location'!$E$5:$E$264,D$4)</f>
        <v>0</v>
      </c>
      <c r="E49" s="23" t="n">
        <f aca="false">SUMIFS('Stock by Location'!$G$5:$G$264,'Stock by Location'!$A$5:$A$264,$A49,'Stock by Location'!$E$5:$E$264,E$4)</f>
        <v>0</v>
      </c>
      <c r="F49" s="23" t="n">
        <f aca="false">SUMIFS('Stock by Location'!$G$5:$G$264,'Stock by Location'!$A$5:$A$264,$A49,'Stock by Location'!$E$5:$E$264,F$4)</f>
        <v>0</v>
      </c>
      <c r="G49" s="23" t="n">
        <f aca="false">SUMIFS('Stock by Location'!$G$5:$G$264,'Stock by Location'!$A$5:$A$264,$A49,'Stock by Location'!$E$5:$E$264,G$4)</f>
        <v>0</v>
      </c>
      <c r="H49" s="14" t="n">
        <f aca="false">SUM(C49:G49)</f>
        <v>450</v>
      </c>
      <c r="I49" s="12" t="n">
        <f aca="false">INDEX(Products!$J$5:$J$93,MATCH(A49,Products!$A$5:$A$93,0))</f>
        <v>170.67</v>
      </c>
      <c r="J49" s="12" t="n">
        <f aca="false">H49*I49</f>
        <v>76801.5</v>
      </c>
    </row>
    <row r="50" customFormat="false" ht="15" hidden="false" customHeight="false" outlineLevel="0" collapsed="false">
      <c r="A50" s="10" t="s">
        <v>315</v>
      </c>
      <c r="B50" s="10" t="s">
        <v>316</v>
      </c>
      <c r="C50" s="23" t="n">
        <f aca="false">SUMIFS('Stock by Location'!$G$5:$G$264,'Stock by Location'!$A$5:$A$264,$A50,'Stock by Location'!$E$5:$E$264,C$4)</f>
        <v>180</v>
      </c>
      <c r="D50" s="23" t="n">
        <f aca="false">SUMIFS('Stock by Location'!$G$5:$G$264,'Stock by Location'!$A$5:$A$264,$A50,'Stock by Location'!$E$5:$E$264,D$4)</f>
        <v>0</v>
      </c>
      <c r="E50" s="23" t="n">
        <f aca="false">SUMIFS('Stock by Location'!$G$5:$G$264,'Stock by Location'!$A$5:$A$264,$A50,'Stock by Location'!$E$5:$E$264,E$4)</f>
        <v>0</v>
      </c>
      <c r="F50" s="23" t="n">
        <f aca="false">SUMIFS('Stock by Location'!$G$5:$G$264,'Stock by Location'!$A$5:$A$264,$A50,'Stock by Location'!$E$5:$E$264,F$4)</f>
        <v>0</v>
      </c>
      <c r="G50" s="23" t="n">
        <f aca="false">SUMIFS('Stock by Location'!$G$5:$G$264,'Stock by Location'!$A$5:$A$264,$A50,'Stock by Location'!$E$5:$E$264,G$4)</f>
        <v>0</v>
      </c>
      <c r="H50" s="14" t="n">
        <f aca="false">SUM(C50:G50)</f>
        <v>180</v>
      </c>
      <c r="I50" s="12" t="n">
        <f aca="false">INDEX(Products!$J$5:$J$93,MATCH(A50,Products!$A$5:$A$93,0))</f>
        <v>358</v>
      </c>
      <c r="J50" s="12" t="n">
        <f aca="false">H50*I50</f>
        <v>64440</v>
      </c>
    </row>
    <row r="51" customFormat="false" ht="15" hidden="false" customHeight="false" outlineLevel="0" collapsed="false">
      <c r="A51" s="10" t="s">
        <v>318</v>
      </c>
      <c r="B51" s="10" t="s">
        <v>319</v>
      </c>
      <c r="C51" s="23" t="n">
        <f aca="false">SUMIFS('Stock by Location'!$G$5:$G$264,'Stock by Location'!$A$5:$A$264,$A51,'Stock by Location'!$E$5:$E$264,C$4)</f>
        <v>140</v>
      </c>
      <c r="D51" s="23" t="n">
        <f aca="false">SUMIFS('Stock by Location'!$G$5:$G$264,'Stock by Location'!$A$5:$A$264,$A51,'Stock by Location'!$E$5:$E$264,D$4)</f>
        <v>0</v>
      </c>
      <c r="E51" s="23" t="n">
        <f aca="false">SUMIFS('Stock by Location'!$G$5:$G$264,'Stock by Location'!$A$5:$A$264,$A51,'Stock by Location'!$E$5:$E$264,E$4)</f>
        <v>0</v>
      </c>
      <c r="F51" s="23" t="n">
        <f aca="false">SUMIFS('Stock by Location'!$G$5:$G$264,'Stock by Location'!$A$5:$A$264,$A51,'Stock by Location'!$E$5:$E$264,F$4)</f>
        <v>0</v>
      </c>
      <c r="G51" s="23" t="n">
        <f aca="false">SUMIFS('Stock by Location'!$G$5:$G$264,'Stock by Location'!$A$5:$A$264,$A51,'Stock by Location'!$E$5:$E$264,G$4)</f>
        <v>0</v>
      </c>
      <c r="H51" s="14" t="n">
        <f aca="false">SUM(C51:G51)</f>
        <v>140</v>
      </c>
      <c r="I51" s="12" t="n">
        <f aca="false">INDEX(Products!$J$5:$J$93,MATCH(A51,Products!$A$5:$A$93,0))</f>
        <v>401.75</v>
      </c>
      <c r="J51" s="12" t="n">
        <f aca="false">H51*I51</f>
        <v>56245</v>
      </c>
    </row>
    <row r="52" customFormat="false" ht="15" hidden="false" customHeight="false" outlineLevel="0" collapsed="false">
      <c r="A52" s="10" t="s">
        <v>321</v>
      </c>
      <c r="B52" s="10" t="s">
        <v>322</v>
      </c>
      <c r="C52" s="23" t="n">
        <f aca="false">SUMIFS('Stock by Location'!$G$5:$G$264,'Stock by Location'!$A$5:$A$264,$A52,'Stock by Location'!$E$5:$E$264,C$4)</f>
        <v>95</v>
      </c>
      <c r="D52" s="23" t="n">
        <f aca="false">SUMIFS('Stock by Location'!$G$5:$G$264,'Stock by Location'!$A$5:$A$264,$A52,'Stock by Location'!$E$5:$E$264,D$4)</f>
        <v>0</v>
      </c>
      <c r="E52" s="23" t="n">
        <f aca="false">SUMIFS('Stock by Location'!$G$5:$G$264,'Stock by Location'!$A$5:$A$264,$A52,'Stock by Location'!$E$5:$E$264,E$4)</f>
        <v>0</v>
      </c>
      <c r="F52" s="23" t="n">
        <f aca="false">SUMIFS('Stock by Location'!$G$5:$G$264,'Stock by Location'!$A$5:$A$264,$A52,'Stock by Location'!$E$5:$E$264,F$4)</f>
        <v>0</v>
      </c>
      <c r="G52" s="23" t="n">
        <f aca="false">SUMIFS('Stock by Location'!$G$5:$G$264,'Stock by Location'!$A$5:$A$264,$A52,'Stock by Location'!$E$5:$E$264,G$4)</f>
        <v>0</v>
      </c>
      <c r="H52" s="14" t="n">
        <f aca="false">SUM(C52:G52)</f>
        <v>95</v>
      </c>
      <c r="I52" s="12" t="n">
        <f aca="false">INDEX(Products!$J$5:$J$93,MATCH(A52,Products!$A$5:$A$93,0))</f>
        <v>1071</v>
      </c>
      <c r="J52" s="12" t="n">
        <f aca="false">H52*I52</f>
        <v>101745</v>
      </c>
    </row>
    <row r="53" customFormat="false" ht="15" hidden="false" customHeight="false" outlineLevel="0" collapsed="false">
      <c r="A53" s="10" t="s">
        <v>324</v>
      </c>
      <c r="B53" s="10" t="s">
        <v>325</v>
      </c>
      <c r="C53" s="23" t="n">
        <f aca="false">SUMIFS('Stock by Location'!$G$5:$G$264,'Stock by Location'!$A$5:$A$264,$A53,'Stock by Location'!$E$5:$E$264,C$4)</f>
        <v>110</v>
      </c>
      <c r="D53" s="23" t="n">
        <f aca="false">SUMIFS('Stock by Location'!$G$5:$G$264,'Stock by Location'!$A$5:$A$264,$A53,'Stock by Location'!$E$5:$E$264,D$4)</f>
        <v>0</v>
      </c>
      <c r="E53" s="23" t="n">
        <f aca="false">SUMIFS('Stock by Location'!$G$5:$G$264,'Stock by Location'!$A$5:$A$264,$A53,'Stock by Location'!$E$5:$E$264,E$4)</f>
        <v>0</v>
      </c>
      <c r="F53" s="23" t="n">
        <f aca="false">SUMIFS('Stock by Location'!$G$5:$G$264,'Stock by Location'!$A$5:$A$264,$A53,'Stock by Location'!$E$5:$E$264,F$4)</f>
        <v>0</v>
      </c>
      <c r="G53" s="23" t="n">
        <f aca="false">SUMIFS('Stock by Location'!$G$5:$G$264,'Stock by Location'!$A$5:$A$264,$A53,'Stock by Location'!$E$5:$E$264,G$4)</f>
        <v>0</v>
      </c>
      <c r="H53" s="14" t="n">
        <f aca="false">SUM(C53:G53)</f>
        <v>110</v>
      </c>
      <c r="I53" s="12" t="n">
        <f aca="false">INDEX(Products!$J$5:$J$93,MATCH(A53,Products!$A$5:$A$93,0))</f>
        <v>630</v>
      </c>
      <c r="J53" s="12" t="n">
        <f aca="false">H53*I53</f>
        <v>69300</v>
      </c>
    </row>
    <row r="54" customFormat="false" ht="15" hidden="false" customHeight="false" outlineLevel="0" collapsed="false">
      <c r="A54" s="10" t="s">
        <v>327</v>
      </c>
      <c r="B54" s="10" t="s">
        <v>328</v>
      </c>
      <c r="C54" s="23" t="n">
        <f aca="false">SUMIFS('Stock by Location'!$G$5:$G$264,'Stock by Location'!$A$5:$A$264,$A54,'Stock by Location'!$E$5:$E$264,C$4)</f>
        <v>250</v>
      </c>
      <c r="D54" s="23" t="n">
        <f aca="false">SUMIFS('Stock by Location'!$G$5:$G$264,'Stock by Location'!$A$5:$A$264,$A54,'Stock by Location'!$E$5:$E$264,D$4)</f>
        <v>0</v>
      </c>
      <c r="E54" s="23" t="n">
        <f aca="false">SUMIFS('Stock by Location'!$G$5:$G$264,'Stock by Location'!$A$5:$A$264,$A54,'Stock by Location'!$E$5:$E$264,E$4)</f>
        <v>0</v>
      </c>
      <c r="F54" s="23" t="n">
        <f aca="false">SUMIFS('Stock by Location'!$G$5:$G$264,'Stock by Location'!$A$5:$A$264,$A54,'Stock by Location'!$E$5:$E$264,F$4)</f>
        <v>0</v>
      </c>
      <c r="G54" s="23" t="n">
        <f aca="false">SUMIFS('Stock by Location'!$G$5:$G$264,'Stock by Location'!$A$5:$A$264,$A54,'Stock by Location'!$E$5:$E$264,G$4)</f>
        <v>0</v>
      </c>
      <c r="H54" s="14" t="n">
        <f aca="false">SUM(C54:G54)</f>
        <v>250</v>
      </c>
      <c r="I54" s="12" t="n">
        <f aca="false">INDEX(Products!$J$5:$J$93,MATCH(A54,Products!$A$5:$A$93,0))</f>
        <v>234</v>
      </c>
      <c r="J54" s="12" t="n">
        <f aca="false">H54*I54</f>
        <v>58500</v>
      </c>
    </row>
    <row r="55" customFormat="false" ht="15" hidden="false" customHeight="false" outlineLevel="0" collapsed="false">
      <c r="A55" s="10" t="s">
        <v>330</v>
      </c>
      <c r="B55" s="10" t="s">
        <v>331</v>
      </c>
      <c r="C55" s="23" t="n">
        <f aca="false">SUMIFS('Stock by Location'!$G$5:$G$264,'Stock by Location'!$A$5:$A$264,$A55,'Stock by Location'!$E$5:$E$264,C$4)</f>
        <v>60</v>
      </c>
      <c r="D55" s="23" t="n">
        <f aca="false">SUMIFS('Stock by Location'!$G$5:$G$264,'Stock by Location'!$A$5:$A$264,$A55,'Stock by Location'!$E$5:$E$264,D$4)</f>
        <v>0</v>
      </c>
      <c r="E55" s="23" t="n">
        <f aca="false">SUMIFS('Stock by Location'!$G$5:$G$264,'Stock by Location'!$A$5:$A$264,$A55,'Stock by Location'!$E$5:$E$264,E$4)</f>
        <v>0</v>
      </c>
      <c r="F55" s="23" t="n">
        <f aca="false">SUMIFS('Stock by Location'!$G$5:$G$264,'Stock by Location'!$A$5:$A$264,$A55,'Stock by Location'!$E$5:$E$264,F$4)</f>
        <v>0</v>
      </c>
      <c r="G55" s="23" t="n">
        <f aca="false">SUMIFS('Stock by Location'!$G$5:$G$264,'Stock by Location'!$A$5:$A$264,$A55,'Stock by Location'!$E$5:$E$264,G$4)</f>
        <v>0</v>
      </c>
      <c r="H55" s="14" t="n">
        <f aca="false">SUM(C55:G55)</f>
        <v>60</v>
      </c>
      <c r="I55" s="12" t="n">
        <f aca="false">INDEX(Products!$J$5:$J$93,MATCH(A55,Products!$A$5:$A$93,0))</f>
        <v>1733.25</v>
      </c>
      <c r="J55" s="12" t="n">
        <f aca="false">H55*I55</f>
        <v>103995</v>
      </c>
    </row>
    <row r="56" customFormat="false" ht="15" hidden="false" customHeight="false" outlineLevel="0" collapsed="false">
      <c r="A56" s="10" t="s">
        <v>333</v>
      </c>
      <c r="B56" s="10" t="s">
        <v>334</v>
      </c>
      <c r="C56" s="23" t="n">
        <f aca="false">SUMIFS('Stock by Location'!$G$5:$G$264,'Stock by Location'!$A$5:$A$264,$A56,'Stock by Location'!$E$5:$E$264,C$4)</f>
        <v>600</v>
      </c>
      <c r="D56" s="23" t="n">
        <f aca="false">SUMIFS('Stock by Location'!$G$5:$G$264,'Stock by Location'!$A$5:$A$264,$A56,'Stock by Location'!$E$5:$E$264,D$4)</f>
        <v>0</v>
      </c>
      <c r="E56" s="23" t="n">
        <f aca="false">SUMIFS('Stock by Location'!$G$5:$G$264,'Stock by Location'!$A$5:$A$264,$A56,'Stock by Location'!$E$5:$E$264,E$4)</f>
        <v>0</v>
      </c>
      <c r="F56" s="23" t="n">
        <f aca="false">SUMIFS('Stock by Location'!$G$5:$G$264,'Stock by Location'!$A$5:$A$264,$A56,'Stock by Location'!$E$5:$E$264,F$4)</f>
        <v>0</v>
      </c>
      <c r="G56" s="23" t="n">
        <f aca="false">SUMIFS('Stock by Location'!$G$5:$G$264,'Stock by Location'!$A$5:$A$264,$A56,'Stock by Location'!$E$5:$E$264,G$4)</f>
        <v>0</v>
      </c>
      <c r="H56" s="14" t="n">
        <f aca="false">SUM(C56:G56)</f>
        <v>600</v>
      </c>
      <c r="I56" s="12" t="n">
        <f aca="false">INDEX(Products!$J$5:$J$93,MATCH(A56,Products!$A$5:$A$93,0))</f>
        <v>66</v>
      </c>
      <c r="J56" s="12" t="n">
        <f aca="false">H56*I56</f>
        <v>39600</v>
      </c>
    </row>
    <row r="57" customFormat="false" ht="15" hidden="false" customHeight="false" outlineLevel="0" collapsed="false">
      <c r="A57" s="10" t="s">
        <v>337</v>
      </c>
      <c r="B57" s="10" t="s">
        <v>338</v>
      </c>
      <c r="C57" s="23" t="n">
        <f aca="false">SUMIFS('Stock by Location'!$G$5:$G$264,'Stock by Location'!$A$5:$A$264,$A57,'Stock by Location'!$E$5:$E$264,C$4)</f>
        <v>300</v>
      </c>
      <c r="D57" s="23" t="n">
        <f aca="false">SUMIFS('Stock by Location'!$G$5:$G$264,'Stock by Location'!$A$5:$A$264,$A57,'Stock by Location'!$E$5:$E$264,D$4)</f>
        <v>0</v>
      </c>
      <c r="E57" s="23" t="n">
        <f aca="false">SUMIFS('Stock by Location'!$G$5:$G$264,'Stock by Location'!$A$5:$A$264,$A57,'Stock by Location'!$E$5:$E$264,E$4)</f>
        <v>0</v>
      </c>
      <c r="F57" s="23" t="n">
        <f aca="false">SUMIFS('Stock by Location'!$G$5:$G$264,'Stock by Location'!$A$5:$A$264,$A57,'Stock by Location'!$E$5:$E$264,F$4)</f>
        <v>0</v>
      </c>
      <c r="G57" s="23" t="n">
        <f aca="false">SUMIFS('Stock by Location'!$G$5:$G$264,'Stock by Location'!$A$5:$A$264,$A57,'Stock by Location'!$E$5:$E$264,G$4)</f>
        <v>0</v>
      </c>
      <c r="H57" s="14" t="n">
        <f aca="false">SUM(C57:G57)</f>
        <v>300</v>
      </c>
      <c r="I57" s="12" t="n">
        <f aca="false">INDEX(Products!$J$5:$J$93,MATCH(A57,Products!$A$5:$A$93,0))</f>
        <v>192.5</v>
      </c>
      <c r="J57" s="12" t="n">
        <f aca="false">H57*I57</f>
        <v>57750</v>
      </c>
    </row>
    <row r="58" customFormat="false" ht="15" hidden="false" customHeight="false" outlineLevel="0" collapsed="false">
      <c r="A58" s="10" t="s">
        <v>339</v>
      </c>
      <c r="B58" s="10" t="s">
        <v>340</v>
      </c>
      <c r="C58" s="23" t="n">
        <f aca="false">SUMIFS('Stock by Location'!$G$5:$G$264,'Stock by Location'!$A$5:$A$264,$A58,'Stock by Location'!$E$5:$E$264,C$4)</f>
        <v>200</v>
      </c>
      <c r="D58" s="23" t="n">
        <f aca="false">SUMIFS('Stock by Location'!$G$5:$G$264,'Stock by Location'!$A$5:$A$264,$A58,'Stock by Location'!$E$5:$E$264,D$4)</f>
        <v>0</v>
      </c>
      <c r="E58" s="23" t="n">
        <f aca="false">SUMIFS('Stock by Location'!$G$5:$G$264,'Stock by Location'!$A$5:$A$264,$A58,'Stock by Location'!$E$5:$E$264,E$4)</f>
        <v>0</v>
      </c>
      <c r="F58" s="23" t="n">
        <f aca="false">SUMIFS('Stock by Location'!$G$5:$G$264,'Stock by Location'!$A$5:$A$264,$A58,'Stock by Location'!$E$5:$E$264,F$4)</f>
        <v>0</v>
      </c>
      <c r="G58" s="23" t="n">
        <f aca="false">SUMIFS('Stock by Location'!$G$5:$G$264,'Stock by Location'!$A$5:$A$264,$A58,'Stock by Location'!$E$5:$E$264,G$4)</f>
        <v>0</v>
      </c>
      <c r="H58" s="14" t="n">
        <f aca="false">SUM(C58:G58)</f>
        <v>200</v>
      </c>
      <c r="I58" s="12" t="n">
        <f aca="false">INDEX(Products!$J$5:$J$93,MATCH(A58,Products!$A$5:$A$93,0))</f>
        <v>374</v>
      </c>
      <c r="J58" s="12" t="n">
        <f aca="false">H58*I58</f>
        <v>74800</v>
      </c>
    </row>
    <row r="59" customFormat="false" ht="15" hidden="false" customHeight="false" outlineLevel="0" collapsed="false">
      <c r="A59" s="10" t="s">
        <v>341</v>
      </c>
      <c r="B59" s="10" t="s">
        <v>342</v>
      </c>
      <c r="C59" s="23" t="n">
        <f aca="false">SUMIFS('Stock by Location'!$G$5:$G$264,'Stock by Location'!$A$5:$A$264,$A59,'Stock by Location'!$E$5:$E$264,C$4)</f>
        <v>800</v>
      </c>
      <c r="D59" s="23" t="n">
        <f aca="false">SUMIFS('Stock by Location'!$G$5:$G$264,'Stock by Location'!$A$5:$A$264,$A59,'Stock by Location'!$E$5:$E$264,D$4)</f>
        <v>0</v>
      </c>
      <c r="E59" s="23" t="n">
        <f aca="false">SUMIFS('Stock by Location'!$G$5:$G$264,'Stock by Location'!$A$5:$A$264,$A59,'Stock by Location'!$E$5:$E$264,E$4)</f>
        <v>0</v>
      </c>
      <c r="F59" s="23" t="n">
        <f aca="false">SUMIFS('Stock by Location'!$G$5:$G$264,'Stock by Location'!$A$5:$A$264,$A59,'Stock by Location'!$E$5:$E$264,F$4)</f>
        <v>0</v>
      </c>
      <c r="G59" s="23" t="n">
        <f aca="false">SUMIFS('Stock by Location'!$G$5:$G$264,'Stock by Location'!$A$5:$A$264,$A59,'Stock by Location'!$E$5:$E$264,G$4)</f>
        <v>0</v>
      </c>
      <c r="H59" s="14" t="n">
        <f aca="false">SUM(C59:G59)</f>
        <v>800</v>
      </c>
      <c r="I59" s="12" t="n">
        <f aca="false">INDEX(Products!$J$5:$J$93,MATCH(A59,Products!$A$5:$A$93,0))</f>
        <v>49.5</v>
      </c>
      <c r="J59" s="12" t="n">
        <f aca="false">H59*I59</f>
        <v>39600</v>
      </c>
    </row>
    <row r="60" customFormat="false" ht="15" hidden="false" customHeight="false" outlineLevel="0" collapsed="false">
      <c r="A60" s="10" t="s">
        <v>343</v>
      </c>
      <c r="B60" s="10" t="s">
        <v>344</v>
      </c>
      <c r="C60" s="23" t="n">
        <f aca="false">SUMIFS('Stock by Location'!$G$5:$G$264,'Stock by Location'!$A$5:$A$264,$A60,'Stock by Location'!$E$5:$E$264,C$4)</f>
        <v>300</v>
      </c>
      <c r="D60" s="23" t="n">
        <f aca="false">SUMIFS('Stock by Location'!$G$5:$G$264,'Stock by Location'!$A$5:$A$264,$A60,'Stock by Location'!$E$5:$E$264,D$4)</f>
        <v>0</v>
      </c>
      <c r="E60" s="23" t="n">
        <f aca="false">SUMIFS('Stock by Location'!$G$5:$G$264,'Stock by Location'!$A$5:$A$264,$A60,'Stock by Location'!$E$5:$E$264,E$4)</f>
        <v>0</v>
      </c>
      <c r="F60" s="23" t="n">
        <f aca="false">SUMIFS('Stock by Location'!$G$5:$G$264,'Stock by Location'!$A$5:$A$264,$A60,'Stock by Location'!$E$5:$E$264,F$4)</f>
        <v>0</v>
      </c>
      <c r="G60" s="23" t="n">
        <f aca="false">SUMIFS('Stock by Location'!$G$5:$G$264,'Stock by Location'!$A$5:$A$264,$A60,'Stock by Location'!$E$5:$E$264,G$4)</f>
        <v>0</v>
      </c>
      <c r="H60" s="14" t="n">
        <f aca="false">SUM(C60:G60)</f>
        <v>300</v>
      </c>
      <c r="I60" s="12" t="n">
        <f aca="false">INDEX(Products!$J$5:$J$93,MATCH(A60,Products!$A$5:$A$93,0))</f>
        <v>88</v>
      </c>
      <c r="J60" s="12" t="n">
        <f aca="false">H60*I60</f>
        <v>26400</v>
      </c>
    </row>
    <row r="61" customFormat="false" ht="15" hidden="false" customHeight="false" outlineLevel="0" collapsed="false">
      <c r="A61" s="10" t="s">
        <v>345</v>
      </c>
      <c r="B61" s="10" t="s">
        <v>346</v>
      </c>
      <c r="C61" s="23" t="n">
        <f aca="false">SUMIFS('Stock by Location'!$G$5:$G$264,'Stock by Location'!$A$5:$A$264,$A61,'Stock by Location'!$E$5:$E$264,C$4)</f>
        <v>500</v>
      </c>
      <c r="D61" s="23" t="n">
        <f aca="false">SUMIFS('Stock by Location'!$G$5:$G$264,'Stock by Location'!$A$5:$A$264,$A61,'Stock by Location'!$E$5:$E$264,D$4)</f>
        <v>0</v>
      </c>
      <c r="E61" s="23" t="n">
        <f aca="false">SUMIFS('Stock by Location'!$G$5:$G$264,'Stock by Location'!$A$5:$A$264,$A61,'Stock by Location'!$E$5:$E$264,E$4)</f>
        <v>0</v>
      </c>
      <c r="F61" s="23" t="n">
        <f aca="false">SUMIFS('Stock by Location'!$G$5:$G$264,'Stock by Location'!$A$5:$A$264,$A61,'Stock by Location'!$E$5:$E$264,F$4)</f>
        <v>0</v>
      </c>
      <c r="G61" s="23" t="n">
        <f aca="false">SUMIFS('Stock by Location'!$G$5:$G$264,'Stock by Location'!$A$5:$A$264,$A61,'Stock by Location'!$E$5:$E$264,G$4)</f>
        <v>0</v>
      </c>
      <c r="H61" s="14" t="n">
        <f aca="false">SUM(C61:G61)</f>
        <v>500</v>
      </c>
      <c r="I61" s="12" t="n">
        <f aca="false">INDEX(Products!$J$5:$J$93,MATCH(A61,Products!$A$5:$A$93,0))</f>
        <v>19.25</v>
      </c>
      <c r="J61" s="12" t="n">
        <f aca="false">H61*I61</f>
        <v>9625</v>
      </c>
    </row>
    <row r="62" customFormat="false" ht="15" hidden="false" customHeight="false" outlineLevel="0" collapsed="false">
      <c r="A62" s="10" t="s">
        <v>347</v>
      </c>
      <c r="B62" s="10" t="s">
        <v>348</v>
      </c>
      <c r="C62" s="23" t="n">
        <f aca="false">SUMIFS('Stock by Location'!$G$5:$G$264,'Stock by Location'!$A$5:$A$264,$A62,'Stock by Location'!$E$5:$E$264,C$4)</f>
        <v>300</v>
      </c>
      <c r="D62" s="23" t="n">
        <f aca="false">SUMIFS('Stock by Location'!$G$5:$G$264,'Stock by Location'!$A$5:$A$264,$A62,'Stock by Location'!$E$5:$E$264,D$4)</f>
        <v>0</v>
      </c>
      <c r="E62" s="23" t="n">
        <f aca="false">SUMIFS('Stock by Location'!$G$5:$G$264,'Stock by Location'!$A$5:$A$264,$A62,'Stock by Location'!$E$5:$E$264,E$4)</f>
        <v>0</v>
      </c>
      <c r="F62" s="23" t="n">
        <f aca="false">SUMIFS('Stock by Location'!$G$5:$G$264,'Stock by Location'!$A$5:$A$264,$A62,'Stock by Location'!$E$5:$E$264,F$4)</f>
        <v>0</v>
      </c>
      <c r="G62" s="23" t="n">
        <f aca="false">SUMIFS('Stock by Location'!$G$5:$G$264,'Stock by Location'!$A$5:$A$264,$A62,'Stock by Location'!$E$5:$E$264,G$4)</f>
        <v>0</v>
      </c>
      <c r="H62" s="14" t="n">
        <f aca="false">SUM(C62:G62)</f>
        <v>300</v>
      </c>
      <c r="I62" s="12" t="n">
        <f aca="false">INDEX(Products!$J$5:$J$93,MATCH(A62,Products!$A$5:$A$93,0))</f>
        <v>44</v>
      </c>
      <c r="J62" s="12" t="n">
        <f aca="false">H62*I62</f>
        <v>13200</v>
      </c>
    </row>
    <row r="63" customFormat="false" ht="15" hidden="false" customHeight="false" outlineLevel="0" collapsed="false">
      <c r="A63" s="10" t="s">
        <v>349</v>
      </c>
      <c r="B63" s="10" t="s">
        <v>350</v>
      </c>
      <c r="C63" s="23" t="n">
        <f aca="false">SUMIFS('Stock by Location'!$G$5:$G$264,'Stock by Location'!$A$5:$A$264,$A63,'Stock by Location'!$E$5:$E$264,C$4)</f>
        <v>200</v>
      </c>
      <c r="D63" s="23" t="n">
        <f aca="false">SUMIFS('Stock by Location'!$G$5:$G$264,'Stock by Location'!$A$5:$A$264,$A63,'Stock by Location'!$E$5:$E$264,D$4)</f>
        <v>0</v>
      </c>
      <c r="E63" s="23" t="n">
        <f aca="false">SUMIFS('Stock by Location'!$G$5:$G$264,'Stock by Location'!$A$5:$A$264,$A63,'Stock by Location'!$E$5:$E$264,E$4)</f>
        <v>0</v>
      </c>
      <c r="F63" s="23" t="n">
        <f aca="false">SUMIFS('Stock by Location'!$G$5:$G$264,'Stock by Location'!$A$5:$A$264,$A63,'Stock by Location'!$E$5:$E$264,F$4)</f>
        <v>0</v>
      </c>
      <c r="G63" s="23" t="n">
        <f aca="false">SUMIFS('Stock by Location'!$G$5:$G$264,'Stock by Location'!$A$5:$A$264,$A63,'Stock by Location'!$E$5:$E$264,G$4)</f>
        <v>0</v>
      </c>
      <c r="H63" s="14" t="n">
        <f aca="false">SUM(C63:G63)</f>
        <v>200</v>
      </c>
      <c r="I63" s="12" t="n">
        <f aca="false">INDEX(Products!$J$5:$J$93,MATCH(A63,Products!$A$5:$A$93,0))</f>
        <v>522.5</v>
      </c>
      <c r="J63" s="12" t="n">
        <f aca="false">H63*I63</f>
        <v>104500</v>
      </c>
    </row>
    <row r="64" customFormat="false" ht="15" hidden="false" customHeight="false" outlineLevel="0" collapsed="false">
      <c r="A64" s="10" t="s">
        <v>352</v>
      </c>
      <c r="B64" s="10" t="s">
        <v>353</v>
      </c>
      <c r="C64" s="23" t="n">
        <f aca="false">SUMIFS('Stock by Location'!$G$5:$G$264,'Stock by Location'!$A$5:$A$264,$A64,'Stock by Location'!$E$5:$E$264,C$4)</f>
        <v>200</v>
      </c>
      <c r="D64" s="23" t="n">
        <f aca="false">SUMIFS('Stock by Location'!$G$5:$G$264,'Stock by Location'!$A$5:$A$264,$A64,'Stock by Location'!$E$5:$E$264,D$4)</f>
        <v>0</v>
      </c>
      <c r="E64" s="23" t="n">
        <f aca="false">SUMIFS('Stock by Location'!$G$5:$G$264,'Stock by Location'!$A$5:$A$264,$A64,'Stock by Location'!$E$5:$E$264,E$4)</f>
        <v>0</v>
      </c>
      <c r="F64" s="23" t="n">
        <f aca="false">SUMIFS('Stock by Location'!$G$5:$G$264,'Stock by Location'!$A$5:$A$264,$A64,'Stock by Location'!$E$5:$E$264,F$4)</f>
        <v>0</v>
      </c>
      <c r="G64" s="23" t="n">
        <f aca="false">SUMIFS('Stock by Location'!$G$5:$G$264,'Stock by Location'!$A$5:$A$264,$A64,'Stock by Location'!$E$5:$E$264,G$4)</f>
        <v>0</v>
      </c>
      <c r="H64" s="14" t="n">
        <f aca="false">SUM(C64:G64)</f>
        <v>200</v>
      </c>
      <c r="I64" s="12" t="n">
        <f aca="false">INDEX(Products!$J$5:$J$93,MATCH(A64,Products!$A$5:$A$93,0))</f>
        <v>77</v>
      </c>
      <c r="J64" s="12" t="n">
        <f aca="false">H64*I64</f>
        <v>15400</v>
      </c>
    </row>
    <row r="65" customFormat="false" ht="15" hidden="false" customHeight="false" outlineLevel="0" collapsed="false">
      <c r="A65" s="10" t="s">
        <v>354</v>
      </c>
      <c r="B65" s="10" t="s">
        <v>355</v>
      </c>
      <c r="C65" s="23" t="n">
        <f aca="false">SUMIFS('Stock by Location'!$G$5:$G$264,'Stock by Location'!$A$5:$A$264,$A65,'Stock by Location'!$E$5:$E$264,C$4)</f>
        <v>200</v>
      </c>
      <c r="D65" s="23" t="n">
        <f aca="false">SUMIFS('Stock by Location'!$G$5:$G$264,'Stock by Location'!$A$5:$A$264,$A65,'Stock by Location'!$E$5:$E$264,D$4)</f>
        <v>0</v>
      </c>
      <c r="E65" s="23" t="n">
        <f aca="false">SUMIFS('Stock by Location'!$G$5:$G$264,'Stock by Location'!$A$5:$A$264,$A65,'Stock by Location'!$E$5:$E$264,E$4)</f>
        <v>0</v>
      </c>
      <c r="F65" s="23" t="n">
        <f aca="false">SUMIFS('Stock by Location'!$G$5:$G$264,'Stock by Location'!$A$5:$A$264,$A65,'Stock by Location'!$E$5:$E$264,F$4)</f>
        <v>0</v>
      </c>
      <c r="G65" s="23" t="n">
        <f aca="false">SUMIFS('Stock by Location'!$G$5:$G$264,'Stock by Location'!$A$5:$A$264,$A65,'Stock by Location'!$E$5:$E$264,G$4)</f>
        <v>0</v>
      </c>
      <c r="H65" s="14" t="n">
        <f aca="false">SUM(C65:G65)</f>
        <v>200</v>
      </c>
      <c r="I65" s="12" t="n">
        <f aca="false">INDEX(Products!$J$5:$J$93,MATCH(A65,Products!$A$5:$A$93,0))</f>
        <v>115.5</v>
      </c>
      <c r="J65" s="12" t="n">
        <f aca="false">H65*I65</f>
        <v>23100</v>
      </c>
    </row>
    <row r="66" customFormat="false" ht="15" hidden="false" customHeight="false" outlineLevel="0" collapsed="false">
      <c r="A66" s="10" t="s">
        <v>356</v>
      </c>
      <c r="B66" s="10" t="s">
        <v>357</v>
      </c>
      <c r="C66" s="23" t="n">
        <f aca="false">SUMIFS('Stock by Location'!$G$5:$G$264,'Stock by Location'!$A$5:$A$264,$A66,'Stock by Location'!$E$5:$E$264,C$4)</f>
        <v>200</v>
      </c>
      <c r="D66" s="23" t="n">
        <f aca="false">SUMIFS('Stock by Location'!$G$5:$G$264,'Stock by Location'!$A$5:$A$264,$A66,'Stock by Location'!$E$5:$E$264,D$4)</f>
        <v>0</v>
      </c>
      <c r="E66" s="23" t="n">
        <f aca="false">SUMIFS('Stock by Location'!$G$5:$G$264,'Stock by Location'!$A$5:$A$264,$A66,'Stock by Location'!$E$5:$E$264,E$4)</f>
        <v>0</v>
      </c>
      <c r="F66" s="23" t="n">
        <f aca="false">SUMIFS('Stock by Location'!$G$5:$G$264,'Stock by Location'!$A$5:$A$264,$A66,'Stock by Location'!$E$5:$E$264,F$4)</f>
        <v>0</v>
      </c>
      <c r="G66" s="23" t="n">
        <f aca="false">SUMIFS('Stock by Location'!$G$5:$G$264,'Stock by Location'!$A$5:$A$264,$A66,'Stock by Location'!$E$5:$E$264,G$4)</f>
        <v>0</v>
      </c>
      <c r="H66" s="14" t="n">
        <f aca="false">SUM(C66:G66)</f>
        <v>200</v>
      </c>
      <c r="I66" s="12" t="n">
        <f aca="false">INDEX(Products!$J$5:$J$93,MATCH(A66,Products!$A$5:$A$93,0))</f>
        <v>71.5</v>
      </c>
      <c r="J66" s="12" t="n">
        <f aca="false">H66*I66</f>
        <v>14300</v>
      </c>
    </row>
    <row r="67" customFormat="false" ht="15" hidden="false" customHeight="false" outlineLevel="0" collapsed="false">
      <c r="A67" s="10" t="s">
        <v>358</v>
      </c>
      <c r="B67" s="10" t="s">
        <v>359</v>
      </c>
      <c r="C67" s="23" t="n">
        <f aca="false">SUMIFS('Stock by Location'!$G$5:$G$264,'Stock by Location'!$A$5:$A$264,$A67,'Stock by Location'!$E$5:$E$264,C$4)</f>
        <v>2500</v>
      </c>
      <c r="D67" s="23" t="n">
        <f aca="false">SUMIFS('Stock by Location'!$G$5:$G$264,'Stock by Location'!$A$5:$A$264,$A67,'Stock by Location'!$E$5:$E$264,D$4)</f>
        <v>0</v>
      </c>
      <c r="E67" s="23" t="n">
        <f aca="false">SUMIFS('Stock by Location'!$G$5:$G$264,'Stock by Location'!$A$5:$A$264,$A67,'Stock by Location'!$E$5:$E$264,E$4)</f>
        <v>0</v>
      </c>
      <c r="F67" s="23" t="n">
        <f aca="false">SUMIFS('Stock by Location'!$G$5:$G$264,'Stock by Location'!$A$5:$A$264,$A67,'Stock by Location'!$E$5:$E$264,F$4)</f>
        <v>0</v>
      </c>
      <c r="G67" s="23" t="n">
        <f aca="false">SUMIFS('Stock by Location'!$G$5:$G$264,'Stock by Location'!$A$5:$A$264,$A67,'Stock by Location'!$E$5:$E$264,G$4)</f>
        <v>0</v>
      </c>
      <c r="H67" s="14" t="n">
        <f aca="false">SUM(C67:G67)</f>
        <v>2500</v>
      </c>
      <c r="I67" s="12" t="n">
        <f aca="false">INDEX(Products!$J$5:$J$93,MATCH(A67,Products!$A$5:$A$93,0))</f>
        <v>70</v>
      </c>
      <c r="J67" s="12" t="n">
        <f aca="false">H67*I67</f>
        <v>175000</v>
      </c>
    </row>
    <row r="68" customFormat="false" ht="15" hidden="false" customHeight="false" outlineLevel="0" collapsed="false">
      <c r="A68" s="10" t="s">
        <v>361</v>
      </c>
      <c r="B68" s="10" t="s">
        <v>362</v>
      </c>
      <c r="C68" s="23" t="n">
        <f aca="false">SUMIFS('Stock by Location'!$G$5:$G$264,'Stock by Location'!$A$5:$A$264,$A68,'Stock by Location'!$E$5:$E$264,C$4)</f>
        <v>600</v>
      </c>
      <c r="D68" s="23" t="n">
        <f aca="false">SUMIFS('Stock by Location'!$G$5:$G$264,'Stock by Location'!$A$5:$A$264,$A68,'Stock by Location'!$E$5:$E$264,D$4)</f>
        <v>0</v>
      </c>
      <c r="E68" s="23" t="n">
        <f aca="false">SUMIFS('Stock by Location'!$G$5:$G$264,'Stock by Location'!$A$5:$A$264,$A68,'Stock by Location'!$E$5:$E$264,E$4)</f>
        <v>0</v>
      </c>
      <c r="F68" s="23" t="n">
        <f aca="false">SUMIFS('Stock by Location'!$G$5:$G$264,'Stock by Location'!$A$5:$A$264,$A68,'Stock by Location'!$E$5:$E$264,F$4)</f>
        <v>0</v>
      </c>
      <c r="G68" s="23" t="n">
        <f aca="false">SUMIFS('Stock by Location'!$G$5:$G$264,'Stock by Location'!$A$5:$A$264,$A68,'Stock by Location'!$E$5:$E$264,G$4)</f>
        <v>0</v>
      </c>
      <c r="H68" s="14" t="n">
        <f aca="false">SUM(C68:G68)</f>
        <v>600</v>
      </c>
      <c r="I68" s="12" t="n">
        <f aca="false">INDEX(Products!$J$5:$J$93,MATCH(A68,Products!$A$5:$A$93,0))</f>
        <v>180</v>
      </c>
      <c r="J68" s="12" t="n">
        <f aca="false">H68*I68</f>
        <v>108000</v>
      </c>
    </row>
    <row r="69" customFormat="false" ht="15" hidden="false" customHeight="false" outlineLevel="0" collapsed="false">
      <c r="A69" s="10" t="s">
        <v>363</v>
      </c>
      <c r="B69" s="10" t="s">
        <v>364</v>
      </c>
      <c r="C69" s="23" t="n">
        <f aca="false">SUMIFS('Stock by Location'!$G$5:$G$264,'Stock by Location'!$A$5:$A$264,$A69,'Stock by Location'!$E$5:$E$264,C$4)</f>
        <v>300</v>
      </c>
      <c r="D69" s="23" t="n">
        <f aca="false">SUMIFS('Stock by Location'!$G$5:$G$264,'Stock by Location'!$A$5:$A$264,$A69,'Stock by Location'!$E$5:$E$264,D$4)</f>
        <v>0</v>
      </c>
      <c r="E69" s="23" t="n">
        <f aca="false">SUMIFS('Stock by Location'!$G$5:$G$264,'Stock by Location'!$A$5:$A$264,$A69,'Stock by Location'!$E$5:$E$264,E$4)</f>
        <v>0</v>
      </c>
      <c r="F69" s="23" t="n">
        <f aca="false">SUMIFS('Stock by Location'!$G$5:$G$264,'Stock by Location'!$A$5:$A$264,$A69,'Stock by Location'!$E$5:$E$264,F$4)</f>
        <v>0</v>
      </c>
      <c r="G69" s="23" t="n">
        <f aca="false">SUMIFS('Stock by Location'!$G$5:$G$264,'Stock by Location'!$A$5:$A$264,$A69,'Stock by Location'!$E$5:$E$264,G$4)</f>
        <v>0</v>
      </c>
      <c r="H69" s="14" t="n">
        <f aca="false">SUM(C69:G69)</f>
        <v>300</v>
      </c>
      <c r="I69" s="12" t="n">
        <f aca="false">INDEX(Products!$J$5:$J$93,MATCH(A69,Products!$A$5:$A$93,0))</f>
        <v>220</v>
      </c>
      <c r="J69" s="12" t="n">
        <f aca="false">H69*I69</f>
        <v>66000</v>
      </c>
    </row>
    <row r="70" customFormat="false" ht="15" hidden="false" customHeight="false" outlineLevel="0" collapsed="false">
      <c r="A70" s="10" t="s">
        <v>365</v>
      </c>
      <c r="B70" s="10" t="s">
        <v>366</v>
      </c>
      <c r="C70" s="23" t="n">
        <f aca="false">SUMIFS('Stock by Location'!$G$5:$G$264,'Stock by Location'!$A$5:$A$264,$A70,'Stock by Location'!$E$5:$E$264,C$4)</f>
        <v>200</v>
      </c>
      <c r="D70" s="23" t="n">
        <f aca="false">SUMIFS('Stock by Location'!$G$5:$G$264,'Stock by Location'!$A$5:$A$264,$A70,'Stock by Location'!$E$5:$E$264,D$4)</f>
        <v>0</v>
      </c>
      <c r="E70" s="23" t="n">
        <f aca="false">SUMIFS('Stock by Location'!$G$5:$G$264,'Stock by Location'!$A$5:$A$264,$A70,'Stock by Location'!$E$5:$E$264,E$4)</f>
        <v>0</v>
      </c>
      <c r="F70" s="23" t="n">
        <f aca="false">SUMIFS('Stock by Location'!$G$5:$G$264,'Stock by Location'!$A$5:$A$264,$A70,'Stock by Location'!$E$5:$E$264,F$4)</f>
        <v>0</v>
      </c>
      <c r="G70" s="23" t="n">
        <f aca="false">SUMIFS('Stock by Location'!$G$5:$G$264,'Stock by Location'!$A$5:$A$264,$A70,'Stock by Location'!$E$5:$E$264,G$4)</f>
        <v>0</v>
      </c>
      <c r="H70" s="14" t="n">
        <f aca="false">SUM(C70:G70)</f>
        <v>200</v>
      </c>
      <c r="I70" s="12" t="n">
        <f aca="false">INDEX(Products!$J$5:$J$93,MATCH(A70,Products!$A$5:$A$93,0))</f>
        <v>95</v>
      </c>
      <c r="J70" s="12" t="n">
        <f aca="false">H70*I70</f>
        <v>19000</v>
      </c>
    </row>
    <row r="71" customFormat="false" ht="15" hidden="false" customHeight="false" outlineLevel="0" collapsed="false">
      <c r="A71" s="10" t="s">
        <v>367</v>
      </c>
      <c r="B71" s="10" t="s">
        <v>368</v>
      </c>
      <c r="C71" s="23" t="n">
        <f aca="false">SUMIFS('Stock by Location'!$G$5:$G$264,'Stock by Location'!$A$5:$A$264,$A71,'Stock by Location'!$E$5:$E$264,C$4)</f>
        <v>800</v>
      </c>
      <c r="D71" s="23" t="n">
        <f aca="false">SUMIFS('Stock by Location'!$G$5:$G$264,'Stock by Location'!$A$5:$A$264,$A71,'Stock by Location'!$E$5:$E$264,D$4)</f>
        <v>0</v>
      </c>
      <c r="E71" s="23" t="n">
        <f aca="false">SUMIFS('Stock by Location'!$G$5:$G$264,'Stock by Location'!$A$5:$A$264,$A71,'Stock by Location'!$E$5:$E$264,E$4)</f>
        <v>0</v>
      </c>
      <c r="F71" s="23" t="n">
        <f aca="false">SUMIFS('Stock by Location'!$G$5:$G$264,'Stock by Location'!$A$5:$A$264,$A71,'Stock by Location'!$E$5:$E$264,F$4)</f>
        <v>0</v>
      </c>
      <c r="G71" s="23" t="n">
        <f aca="false">SUMIFS('Stock by Location'!$G$5:$G$264,'Stock by Location'!$A$5:$A$264,$A71,'Stock by Location'!$E$5:$E$264,G$4)</f>
        <v>0</v>
      </c>
      <c r="H71" s="14" t="n">
        <f aca="false">SUM(C71:G71)</f>
        <v>800</v>
      </c>
      <c r="I71" s="12" t="n">
        <f aca="false">INDEX(Products!$J$5:$J$93,MATCH(A71,Products!$A$5:$A$93,0))</f>
        <v>120</v>
      </c>
      <c r="J71" s="12" t="n">
        <f aca="false">H71*I71</f>
        <v>96000</v>
      </c>
    </row>
    <row r="72" customFormat="false" ht="15" hidden="false" customHeight="false" outlineLevel="0" collapsed="false">
      <c r="A72" s="10" t="s">
        <v>370</v>
      </c>
      <c r="B72" s="10" t="s">
        <v>371</v>
      </c>
      <c r="C72" s="23" t="n">
        <f aca="false">SUMIFS('Stock by Location'!$G$5:$G$264,'Stock by Location'!$A$5:$A$264,$A72,'Stock by Location'!$E$5:$E$264,C$4)</f>
        <v>200</v>
      </c>
      <c r="D72" s="23" t="n">
        <f aca="false">SUMIFS('Stock by Location'!$G$5:$G$264,'Stock by Location'!$A$5:$A$264,$A72,'Stock by Location'!$E$5:$E$264,D$4)</f>
        <v>0</v>
      </c>
      <c r="E72" s="23" t="n">
        <f aca="false">SUMIFS('Stock by Location'!$G$5:$G$264,'Stock by Location'!$A$5:$A$264,$A72,'Stock by Location'!$E$5:$E$264,E$4)</f>
        <v>0</v>
      </c>
      <c r="F72" s="23" t="n">
        <f aca="false">SUMIFS('Stock by Location'!$G$5:$G$264,'Stock by Location'!$A$5:$A$264,$A72,'Stock by Location'!$E$5:$E$264,F$4)</f>
        <v>0</v>
      </c>
      <c r="G72" s="23" t="n">
        <f aca="false">SUMIFS('Stock by Location'!$G$5:$G$264,'Stock by Location'!$A$5:$A$264,$A72,'Stock by Location'!$E$5:$E$264,G$4)</f>
        <v>0</v>
      </c>
      <c r="H72" s="14" t="n">
        <f aca="false">SUM(C72:G72)</f>
        <v>200</v>
      </c>
      <c r="I72" s="12" t="n">
        <f aca="false">INDEX(Products!$J$5:$J$93,MATCH(A72,Products!$A$5:$A$93,0))</f>
        <v>110</v>
      </c>
      <c r="J72" s="12" t="n">
        <f aca="false">H72*I72</f>
        <v>22000</v>
      </c>
    </row>
    <row r="73" customFormat="false" ht="15" hidden="false" customHeight="false" outlineLevel="0" collapsed="false">
      <c r="A73" s="10" t="s">
        <v>372</v>
      </c>
      <c r="B73" s="10" t="s">
        <v>373</v>
      </c>
      <c r="C73" s="23" t="n">
        <f aca="false">SUMIFS('Stock by Location'!$G$5:$G$264,'Stock by Location'!$A$5:$A$264,$A73,'Stock by Location'!$E$5:$E$264,C$4)</f>
        <v>300</v>
      </c>
      <c r="D73" s="23" t="n">
        <f aca="false">SUMIFS('Stock by Location'!$G$5:$G$264,'Stock by Location'!$A$5:$A$264,$A73,'Stock by Location'!$E$5:$E$264,D$4)</f>
        <v>0</v>
      </c>
      <c r="E73" s="23" t="n">
        <f aca="false">SUMIFS('Stock by Location'!$G$5:$G$264,'Stock by Location'!$A$5:$A$264,$A73,'Stock by Location'!$E$5:$E$264,E$4)</f>
        <v>0</v>
      </c>
      <c r="F73" s="23" t="n">
        <f aca="false">SUMIFS('Stock by Location'!$G$5:$G$264,'Stock by Location'!$A$5:$A$264,$A73,'Stock by Location'!$E$5:$E$264,F$4)</f>
        <v>0</v>
      </c>
      <c r="G73" s="23" t="n">
        <f aca="false">SUMIFS('Stock by Location'!$G$5:$G$264,'Stock by Location'!$A$5:$A$264,$A73,'Stock by Location'!$E$5:$E$264,G$4)</f>
        <v>0</v>
      </c>
      <c r="H73" s="14" t="n">
        <f aca="false">SUM(C73:G73)</f>
        <v>300</v>
      </c>
      <c r="I73" s="12" t="n">
        <f aca="false">INDEX(Products!$J$5:$J$93,MATCH(A73,Products!$A$5:$A$93,0))</f>
        <v>45</v>
      </c>
      <c r="J73" s="12" t="n">
        <f aca="false">H73*I73</f>
        <v>13500</v>
      </c>
    </row>
    <row r="74" customFormat="false" ht="15" hidden="false" customHeight="false" outlineLevel="0" collapsed="false">
      <c r="A74" s="10" t="s">
        <v>374</v>
      </c>
      <c r="B74" s="10" t="s">
        <v>375</v>
      </c>
      <c r="C74" s="23" t="n">
        <f aca="false">SUMIFS('Stock by Location'!$G$5:$G$264,'Stock by Location'!$A$5:$A$264,$A74,'Stock by Location'!$E$5:$E$264,C$4)</f>
        <v>1800</v>
      </c>
      <c r="D74" s="23" t="n">
        <f aca="false">SUMIFS('Stock by Location'!$G$5:$G$264,'Stock by Location'!$A$5:$A$264,$A74,'Stock by Location'!$E$5:$E$264,D$4)</f>
        <v>0</v>
      </c>
      <c r="E74" s="23" t="n">
        <f aca="false">SUMIFS('Stock by Location'!$G$5:$G$264,'Stock by Location'!$A$5:$A$264,$A74,'Stock by Location'!$E$5:$E$264,E$4)</f>
        <v>0</v>
      </c>
      <c r="F74" s="23" t="n">
        <f aca="false">SUMIFS('Stock by Location'!$G$5:$G$264,'Stock by Location'!$A$5:$A$264,$A74,'Stock by Location'!$E$5:$E$264,F$4)</f>
        <v>0</v>
      </c>
      <c r="G74" s="23" t="n">
        <f aca="false">SUMIFS('Stock by Location'!$G$5:$G$264,'Stock by Location'!$A$5:$A$264,$A74,'Stock by Location'!$E$5:$E$264,G$4)</f>
        <v>0</v>
      </c>
      <c r="H74" s="14" t="n">
        <f aca="false">SUM(C74:G74)</f>
        <v>1800</v>
      </c>
      <c r="I74" s="12" t="n">
        <f aca="false">INDEX(Products!$J$5:$J$93,MATCH(A74,Products!$A$5:$A$93,0))</f>
        <v>18</v>
      </c>
      <c r="J74" s="12" t="n">
        <f aca="false">H74*I74</f>
        <v>32400</v>
      </c>
    </row>
    <row r="75" customFormat="false" ht="15" hidden="false" customHeight="false" outlineLevel="0" collapsed="false">
      <c r="A75" s="10" t="s">
        <v>376</v>
      </c>
      <c r="B75" s="10" t="s">
        <v>377</v>
      </c>
      <c r="C75" s="23" t="n">
        <f aca="false">SUMIFS('Stock by Location'!$G$5:$G$264,'Stock by Location'!$A$5:$A$264,$A75,'Stock by Location'!$E$5:$E$264,C$4)</f>
        <v>300</v>
      </c>
      <c r="D75" s="23" t="n">
        <f aca="false">SUMIFS('Stock by Location'!$G$5:$G$264,'Stock by Location'!$A$5:$A$264,$A75,'Stock by Location'!$E$5:$E$264,D$4)</f>
        <v>0</v>
      </c>
      <c r="E75" s="23" t="n">
        <f aca="false">SUMIFS('Stock by Location'!$G$5:$G$264,'Stock by Location'!$A$5:$A$264,$A75,'Stock by Location'!$E$5:$E$264,E$4)</f>
        <v>0</v>
      </c>
      <c r="F75" s="23" t="n">
        <f aca="false">SUMIFS('Stock by Location'!$G$5:$G$264,'Stock by Location'!$A$5:$A$264,$A75,'Stock by Location'!$E$5:$E$264,F$4)</f>
        <v>0</v>
      </c>
      <c r="G75" s="23" t="n">
        <f aca="false">SUMIFS('Stock by Location'!$G$5:$G$264,'Stock by Location'!$A$5:$A$264,$A75,'Stock by Location'!$E$5:$E$264,G$4)</f>
        <v>0</v>
      </c>
      <c r="H75" s="14" t="n">
        <f aca="false">SUM(C75:G75)</f>
        <v>300</v>
      </c>
      <c r="I75" s="12" t="n">
        <f aca="false">INDEX(Products!$J$5:$J$93,MATCH(A75,Products!$A$5:$A$93,0))</f>
        <v>60</v>
      </c>
      <c r="J75" s="12" t="n">
        <f aca="false">H75*I75</f>
        <v>18000</v>
      </c>
    </row>
    <row r="76" customFormat="false" ht="15" hidden="false" customHeight="false" outlineLevel="0" collapsed="false">
      <c r="A76" s="10" t="s">
        <v>378</v>
      </c>
      <c r="B76" s="10" t="s">
        <v>379</v>
      </c>
      <c r="C76" s="23" t="n">
        <f aca="false">SUMIFS('Stock by Location'!$G$5:$G$264,'Stock by Location'!$A$5:$A$264,$A76,'Stock by Location'!$E$5:$E$264,C$4)</f>
        <v>300</v>
      </c>
      <c r="D76" s="23" t="n">
        <f aca="false">SUMIFS('Stock by Location'!$G$5:$G$264,'Stock by Location'!$A$5:$A$264,$A76,'Stock by Location'!$E$5:$E$264,D$4)</f>
        <v>0</v>
      </c>
      <c r="E76" s="23" t="n">
        <f aca="false">SUMIFS('Stock by Location'!$G$5:$G$264,'Stock by Location'!$A$5:$A$264,$A76,'Stock by Location'!$E$5:$E$264,E$4)</f>
        <v>0</v>
      </c>
      <c r="F76" s="23" t="n">
        <f aca="false">SUMIFS('Stock by Location'!$G$5:$G$264,'Stock by Location'!$A$5:$A$264,$A76,'Stock by Location'!$E$5:$E$264,F$4)</f>
        <v>0</v>
      </c>
      <c r="G76" s="23" t="n">
        <f aca="false">SUMIFS('Stock by Location'!$G$5:$G$264,'Stock by Location'!$A$5:$A$264,$A76,'Stock by Location'!$E$5:$E$264,G$4)</f>
        <v>0</v>
      </c>
      <c r="H76" s="14" t="n">
        <f aca="false">SUM(C76:G76)</f>
        <v>300</v>
      </c>
      <c r="I76" s="12" t="n">
        <f aca="false">INDEX(Products!$J$5:$J$93,MATCH(A76,Products!$A$5:$A$93,0))</f>
        <v>85</v>
      </c>
      <c r="J76" s="12" t="n">
        <f aca="false">H76*I76</f>
        <v>25500</v>
      </c>
    </row>
    <row r="77" customFormat="false" ht="15" hidden="false" customHeight="false" outlineLevel="0" collapsed="false">
      <c r="A77" s="10" t="s">
        <v>380</v>
      </c>
      <c r="B77" s="10" t="s">
        <v>381</v>
      </c>
      <c r="C77" s="23" t="n">
        <f aca="false">SUMIFS('Stock by Location'!$G$5:$G$264,'Stock by Location'!$A$5:$A$264,$A77,'Stock by Location'!$E$5:$E$264,C$4)</f>
        <v>500</v>
      </c>
      <c r="D77" s="23" t="n">
        <f aca="false">SUMIFS('Stock by Location'!$G$5:$G$264,'Stock by Location'!$A$5:$A$264,$A77,'Stock by Location'!$E$5:$E$264,D$4)</f>
        <v>0</v>
      </c>
      <c r="E77" s="23" t="n">
        <f aca="false">SUMIFS('Stock by Location'!$G$5:$G$264,'Stock by Location'!$A$5:$A$264,$A77,'Stock by Location'!$E$5:$E$264,E$4)</f>
        <v>0</v>
      </c>
      <c r="F77" s="23" t="n">
        <f aca="false">SUMIFS('Stock by Location'!$G$5:$G$264,'Stock by Location'!$A$5:$A$264,$A77,'Stock by Location'!$E$5:$E$264,F$4)</f>
        <v>0</v>
      </c>
      <c r="G77" s="23" t="n">
        <f aca="false">SUMIFS('Stock by Location'!$G$5:$G$264,'Stock by Location'!$A$5:$A$264,$A77,'Stock by Location'!$E$5:$E$264,G$4)</f>
        <v>0</v>
      </c>
      <c r="H77" s="14" t="n">
        <f aca="false">SUM(C77:G77)</f>
        <v>500</v>
      </c>
      <c r="I77" s="12" t="n">
        <f aca="false">INDEX(Products!$J$5:$J$93,MATCH(A77,Products!$A$5:$A$93,0))</f>
        <v>70</v>
      </c>
      <c r="J77" s="12" t="n">
        <f aca="false">H77*I77</f>
        <v>35000</v>
      </c>
    </row>
    <row r="78" customFormat="false" ht="15" hidden="false" customHeight="false" outlineLevel="0" collapsed="false">
      <c r="A78" s="10" t="s">
        <v>382</v>
      </c>
      <c r="B78" s="10" t="s">
        <v>383</v>
      </c>
      <c r="C78" s="23" t="n">
        <f aca="false">SUMIFS('Stock by Location'!$G$5:$G$264,'Stock by Location'!$A$5:$A$264,$A78,'Stock by Location'!$E$5:$E$264,C$4)</f>
        <v>4000</v>
      </c>
      <c r="D78" s="23" t="n">
        <f aca="false">SUMIFS('Stock by Location'!$G$5:$G$264,'Stock by Location'!$A$5:$A$264,$A78,'Stock by Location'!$E$5:$E$264,D$4)</f>
        <v>0</v>
      </c>
      <c r="E78" s="23" t="n">
        <f aca="false">SUMIFS('Stock by Location'!$G$5:$G$264,'Stock by Location'!$A$5:$A$264,$A78,'Stock by Location'!$E$5:$E$264,E$4)</f>
        <v>0</v>
      </c>
      <c r="F78" s="23" t="n">
        <f aca="false">SUMIFS('Stock by Location'!$G$5:$G$264,'Stock by Location'!$A$5:$A$264,$A78,'Stock by Location'!$E$5:$E$264,F$4)</f>
        <v>0</v>
      </c>
      <c r="G78" s="23" t="n">
        <f aca="false">SUMIFS('Stock by Location'!$G$5:$G$264,'Stock by Location'!$A$5:$A$264,$A78,'Stock by Location'!$E$5:$E$264,G$4)</f>
        <v>0</v>
      </c>
      <c r="H78" s="14" t="n">
        <f aca="false">SUM(C78:G78)</f>
        <v>4000</v>
      </c>
      <c r="I78" s="12" t="n">
        <f aca="false">INDEX(Products!$J$5:$J$93,MATCH(A78,Products!$A$5:$A$93,0))</f>
        <v>14</v>
      </c>
      <c r="J78" s="12" t="n">
        <f aca="false">H78*I78</f>
        <v>56000</v>
      </c>
    </row>
    <row r="79" customFormat="false" ht="15" hidden="false" customHeight="false" outlineLevel="0" collapsed="false">
      <c r="A79" s="10" t="s">
        <v>385</v>
      </c>
      <c r="B79" s="10" t="s">
        <v>386</v>
      </c>
      <c r="C79" s="23" t="n">
        <f aca="false">SUMIFS('Stock by Location'!$G$5:$G$264,'Stock by Location'!$A$5:$A$264,$A79,'Stock by Location'!$E$5:$E$264,C$4)</f>
        <v>600</v>
      </c>
      <c r="D79" s="23" t="n">
        <f aca="false">SUMIFS('Stock by Location'!$G$5:$G$264,'Stock by Location'!$A$5:$A$264,$A79,'Stock by Location'!$E$5:$E$264,D$4)</f>
        <v>0</v>
      </c>
      <c r="E79" s="23" t="n">
        <f aca="false">SUMIFS('Stock by Location'!$G$5:$G$264,'Stock by Location'!$A$5:$A$264,$A79,'Stock by Location'!$E$5:$E$264,E$4)</f>
        <v>0</v>
      </c>
      <c r="F79" s="23" t="n">
        <f aca="false">SUMIFS('Stock by Location'!$G$5:$G$264,'Stock by Location'!$A$5:$A$264,$A79,'Stock by Location'!$E$5:$E$264,F$4)</f>
        <v>0</v>
      </c>
      <c r="G79" s="23" t="n">
        <f aca="false">SUMIFS('Stock by Location'!$G$5:$G$264,'Stock by Location'!$A$5:$A$264,$A79,'Stock by Location'!$E$5:$E$264,G$4)</f>
        <v>0</v>
      </c>
      <c r="H79" s="14" t="n">
        <f aca="false">SUM(C79:G79)</f>
        <v>600</v>
      </c>
      <c r="I79" s="12" t="n">
        <f aca="false">INDEX(Products!$J$5:$J$93,MATCH(A79,Products!$A$5:$A$93,0))</f>
        <v>38</v>
      </c>
      <c r="J79" s="12" t="n">
        <f aca="false">H79*I79</f>
        <v>22800</v>
      </c>
    </row>
    <row r="80" customFormat="false" ht="15" hidden="false" customHeight="false" outlineLevel="0" collapsed="false">
      <c r="A80" s="10" t="s">
        <v>387</v>
      </c>
      <c r="B80" s="10" t="s">
        <v>388</v>
      </c>
      <c r="C80" s="23" t="n">
        <f aca="false">SUMIFS('Stock by Location'!$G$5:$G$264,'Stock by Location'!$A$5:$A$264,$A80,'Stock by Location'!$E$5:$E$264,C$4)</f>
        <v>500</v>
      </c>
      <c r="D80" s="23" t="n">
        <f aca="false">SUMIFS('Stock by Location'!$G$5:$G$264,'Stock by Location'!$A$5:$A$264,$A80,'Stock by Location'!$E$5:$E$264,D$4)</f>
        <v>0</v>
      </c>
      <c r="E80" s="23" t="n">
        <f aca="false">SUMIFS('Stock by Location'!$G$5:$G$264,'Stock by Location'!$A$5:$A$264,$A80,'Stock by Location'!$E$5:$E$264,E$4)</f>
        <v>0</v>
      </c>
      <c r="F80" s="23" t="n">
        <f aca="false">SUMIFS('Stock by Location'!$G$5:$G$264,'Stock by Location'!$A$5:$A$264,$A80,'Stock by Location'!$E$5:$E$264,F$4)</f>
        <v>0</v>
      </c>
      <c r="G80" s="23" t="n">
        <f aca="false">SUMIFS('Stock by Location'!$G$5:$G$264,'Stock by Location'!$A$5:$A$264,$A80,'Stock by Location'!$E$5:$E$264,G$4)</f>
        <v>0</v>
      </c>
      <c r="H80" s="14" t="n">
        <f aca="false">SUM(C80:G80)</f>
        <v>500</v>
      </c>
      <c r="I80" s="12" t="n">
        <f aca="false">INDEX(Products!$J$5:$J$93,MATCH(A80,Products!$A$5:$A$93,0))</f>
        <v>25</v>
      </c>
      <c r="J80" s="12" t="n">
        <f aca="false">H80*I80</f>
        <v>12500</v>
      </c>
    </row>
    <row r="81" customFormat="false" ht="15" hidden="false" customHeight="false" outlineLevel="0" collapsed="false">
      <c r="A81" s="10" t="s">
        <v>389</v>
      </c>
      <c r="B81" s="10" t="s">
        <v>390</v>
      </c>
      <c r="C81" s="23" t="n">
        <f aca="false">SUMIFS('Stock by Location'!$G$5:$G$264,'Stock by Location'!$A$5:$A$264,$A81,'Stock by Location'!$E$5:$E$264,C$4)</f>
        <v>1200</v>
      </c>
      <c r="D81" s="23" t="n">
        <f aca="false">SUMIFS('Stock by Location'!$G$5:$G$264,'Stock by Location'!$A$5:$A$264,$A81,'Stock by Location'!$E$5:$E$264,D$4)</f>
        <v>0</v>
      </c>
      <c r="E81" s="23" t="n">
        <f aca="false">SUMIFS('Stock by Location'!$G$5:$G$264,'Stock by Location'!$A$5:$A$264,$A81,'Stock by Location'!$E$5:$E$264,E$4)</f>
        <v>0</v>
      </c>
      <c r="F81" s="23" t="n">
        <f aca="false">SUMIFS('Stock by Location'!$G$5:$G$264,'Stock by Location'!$A$5:$A$264,$A81,'Stock by Location'!$E$5:$E$264,F$4)</f>
        <v>0</v>
      </c>
      <c r="G81" s="23" t="n">
        <f aca="false">SUMIFS('Stock by Location'!$G$5:$G$264,'Stock by Location'!$A$5:$A$264,$A81,'Stock by Location'!$E$5:$E$264,G$4)</f>
        <v>0</v>
      </c>
      <c r="H81" s="14" t="n">
        <f aca="false">SUM(C81:G81)</f>
        <v>1200</v>
      </c>
      <c r="I81" s="12" t="n">
        <f aca="false">INDEX(Products!$J$5:$J$93,MATCH(A81,Products!$A$5:$A$93,0))</f>
        <v>160</v>
      </c>
      <c r="J81" s="12" t="n">
        <f aca="false">H81*I81</f>
        <v>192000</v>
      </c>
    </row>
    <row r="82" customFormat="false" ht="15" hidden="false" customHeight="false" outlineLevel="0" collapsed="false">
      <c r="A82" s="10" t="s">
        <v>391</v>
      </c>
      <c r="B82" s="10" t="s">
        <v>392</v>
      </c>
      <c r="C82" s="23" t="n">
        <f aca="false">SUMIFS('Stock by Location'!$G$5:$G$264,'Stock by Location'!$A$5:$A$264,$A82,'Stock by Location'!$E$5:$E$264,C$4)</f>
        <v>300</v>
      </c>
      <c r="D82" s="23" t="n">
        <f aca="false">SUMIFS('Stock by Location'!$G$5:$G$264,'Stock by Location'!$A$5:$A$264,$A82,'Stock by Location'!$E$5:$E$264,D$4)</f>
        <v>0</v>
      </c>
      <c r="E82" s="23" t="n">
        <f aca="false">SUMIFS('Stock by Location'!$G$5:$G$264,'Stock by Location'!$A$5:$A$264,$A82,'Stock by Location'!$E$5:$E$264,E$4)</f>
        <v>0</v>
      </c>
      <c r="F82" s="23" t="n">
        <f aca="false">SUMIFS('Stock by Location'!$G$5:$G$264,'Stock by Location'!$A$5:$A$264,$A82,'Stock by Location'!$E$5:$E$264,F$4)</f>
        <v>0</v>
      </c>
      <c r="G82" s="23" t="n">
        <f aca="false">SUMIFS('Stock by Location'!$G$5:$G$264,'Stock by Location'!$A$5:$A$264,$A82,'Stock by Location'!$E$5:$E$264,G$4)</f>
        <v>0</v>
      </c>
      <c r="H82" s="14" t="n">
        <f aca="false">SUM(C82:G82)</f>
        <v>300</v>
      </c>
      <c r="I82" s="12" t="n">
        <f aca="false">INDEX(Products!$J$5:$J$93,MATCH(A82,Products!$A$5:$A$93,0))</f>
        <v>210</v>
      </c>
      <c r="J82" s="12" t="n">
        <f aca="false">H82*I82</f>
        <v>63000</v>
      </c>
    </row>
    <row r="83" customFormat="false" ht="15" hidden="false" customHeight="false" outlineLevel="0" collapsed="false">
      <c r="A83" s="10" t="s">
        <v>393</v>
      </c>
      <c r="B83" s="10" t="s">
        <v>394</v>
      </c>
      <c r="C83" s="23" t="n">
        <f aca="false">SUMIFS('Stock by Location'!$G$5:$G$264,'Stock by Location'!$A$5:$A$264,$A83,'Stock by Location'!$E$5:$E$264,C$4)</f>
        <v>20</v>
      </c>
      <c r="D83" s="23" t="n">
        <f aca="false">SUMIFS('Stock by Location'!$G$5:$G$264,'Stock by Location'!$A$5:$A$264,$A83,'Stock by Location'!$E$5:$E$264,D$4)</f>
        <v>0</v>
      </c>
      <c r="E83" s="23" t="n">
        <f aca="false">SUMIFS('Stock by Location'!$G$5:$G$264,'Stock by Location'!$A$5:$A$264,$A83,'Stock by Location'!$E$5:$E$264,E$4)</f>
        <v>0</v>
      </c>
      <c r="F83" s="23" t="n">
        <f aca="false">SUMIFS('Stock by Location'!$G$5:$G$264,'Stock by Location'!$A$5:$A$264,$A83,'Stock by Location'!$E$5:$E$264,F$4)</f>
        <v>0</v>
      </c>
      <c r="G83" s="23" t="n">
        <f aca="false">SUMIFS('Stock by Location'!$G$5:$G$264,'Stock by Location'!$A$5:$A$264,$A83,'Stock by Location'!$E$5:$E$264,G$4)</f>
        <v>0</v>
      </c>
      <c r="H83" s="14" t="n">
        <f aca="false">SUM(C83:G83)</f>
        <v>20</v>
      </c>
      <c r="I83" s="12" t="n">
        <f aca="false">INDEX(Products!$J$5:$J$93,MATCH(A83,Products!$A$5:$A$93,0))</f>
        <v>900</v>
      </c>
      <c r="J83" s="12" t="n">
        <f aca="false">H83*I83</f>
        <v>18000</v>
      </c>
    </row>
    <row r="84" customFormat="false" ht="15" hidden="false" customHeight="false" outlineLevel="0" collapsed="false">
      <c r="A84" s="10" t="s">
        <v>395</v>
      </c>
      <c r="B84" s="10" t="s">
        <v>396</v>
      </c>
      <c r="C84" s="23" t="n">
        <f aca="false">SUMIFS('Stock by Location'!$G$5:$G$264,'Stock by Location'!$A$5:$A$264,$A84,'Stock by Location'!$E$5:$E$264,C$4)</f>
        <v>250</v>
      </c>
      <c r="D84" s="23" t="n">
        <f aca="false">SUMIFS('Stock by Location'!$G$5:$G$264,'Stock by Location'!$A$5:$A$264,$A84,'Stock by Location'!$E$5:$E$264,D$4)</f>
        <v>0</v>
      </c>
      <c r="E84" s="23" t="n">
        <f aca="false">SUMIFS('Stock by Location'!$G$5:$G$264,'Stock by Location'!$A$5:$A$264,$A84,'Stock by Location'!$E$5:$E$264,E$4)</f>
        <v>0</v>
      </c>
      <c r="F84" s="23" t="n">
        <f aca="false">SUMIFS('Stock by Location'!$G$5:$G$264,'Stock by Location'!$A$5:$A$264,$A84,'Stock by Location'!$E$5:$E$264,F$4)</f>
        <v>0</v>
      </c>
      <c r="G84" s="23" t="n">
        <f aca="false">SUMIFS('Stock by Location'!$G$5:$G$264,'Stock by Location'!$A$5:$A$264,$A84,'Stock by Location'!$E$5:$E$264,G$4)</f>
        <v>0</v>
      </c>
      <c r="H84" s="14" t="n">
        <f aca="false">SUM(C84:G84)</f>
        <v>250</v>
      </c>
      <c r="I84" s="12" t="n">
        <f aca="false">INDEX(Products!$J$5:$J$93,MATCH(A84,Products!$A$5:$A$93,0))</f>
        <v>45</v>
      </c>
      <c r="J84" s="12" t="n">
        <f aca="false">H84*I84</f>
        <v>11250</v>
      </c>
    </row>
    <row r="85" customFormat="false" ht="15" hidden="false" customHeight="false" outlineLevel="0" collapsed="false">
      <c r="A85" s="10" t="s">
        <v>398</v>
      </c>
      <c r="B85" s="10" t="s">
        <v>399</v>
      </c>
      <c r="C85" s="23" t="n">
        <f aca="false">SUMIFS('Stock by Location'!$G$5:$G$264,'Stock by Location'!$A$5:$A$264,$A85,'Stock by Location'!$E$5:$E$264,C$4)</f>
        <v>800</v>
      </c>
      <c r="D85" s="23" t="n">
        <f aca="false">SUMIFS('Stock by Location'!$G$5:$G$264,'Stock by Location'!$A$5:$A$264,$A85,'Stock by Location'!$E$5:$E$264,D$4)</f>
        <v>0</v>
      </c>
      <c r="E85" s="23" t="n">
        <f aca="false">SUMIFS('Stock by Location'!$G$5:$G$264,'Stock by Location'!$A$5:$A$264,$A85,'Stock by Location'!$E$5:$E$264,E$4)</f>
        <v>0</v>
      </c>
      <c r="F85" s="23" t="n">
        <f aca="false">SUMIFS('Stock by Location'!$G$5:$G$264,'Stock by Location'!$A$5:$A$264,$A85,'Stock by Location'!$E$5:$E$264,F$4)</f>
        <v>0</v>
      </c>
      <c r="G85" s="23" t="n">
        <f aca="false">SUMIFS('Stock by Location'!$G$5:$G$264,'Stock by Location'!$A$5:$A$264,$A85,'Stock by Location'!$E$5:$E$264,G$4)</f>
        <v>0</v>
      </c>
      <c r="H85" s="14" t="n">
        <f aca="false">SUM(C85:G85)</f>
        <v>800</v>
      </c>
      <c r="I85" s="12" t="n">
        <f aca="false">INDEX(Products!$J$5:$J$93,MATCH(A85,Products!$A$5:$A$93,0))</f>
        <v>12</v>
      </c>
      <c r="J85" s="12" t="n">
        <f aca="false">H85*I85</f>
        <v>9600</v>
      </c>
    </row>
    <row r="86" customFormat="false" ht="15" hidden="false" customHeight="false" outlineLevel="0" collapsed="false">
      <c r="A86" s="10" t="s">
        <v>400</v>
      </c>
      <c r="B86" s="10" t="s">
        <v>401</v>
      </c>
      <c r="C86" s="23" t="n">
        <f aca="false">SUMIFS('Stock by Location'!$G$5:$G$264,'Stock by Location'!$A$5:$A$264,$A86,'Stock by Location'!$E$5:$E$264,C$4)</f>
        <v>1500</v>
      </c>
      <c r="D86" s="23" t="n">
        <f aca="false">SUMIFS('Stock by Location'!$G$5:$G$264,'Stock by Location'!$A$5:$A$264,$A86,'Stock by Location'!$E$5:$E$264,D$4)</f>
        <v>0</v>
      </c>
      <c r="E86" s="23" t="n">
        <f aca="false">SUMIFS('Stock by Location'!$G$5:$G$264,'Stock by Location'!$A$5:$A$264,$A86,'Stock by Location'!$E$5:$E$264,E$4)</f>
        <v>0</v>
      </c>
      <c r="F86" s="23" t="n">
        <f aca="false">SUMIFS('Stock by Location'!$G$5:$G$264,'Stock by Location'!$A$5:$A$264,$A86,'Stock by Location'!$E$5:$E$264,F$4)</f>
        <v>0</v>
      </c>
      <c r="G86" s="23" t="n">
        <f aca="false">SUMIFS('Stock by Location'!$G$5:$G$264,'Stock by Location'!$A$5:$A$264,$A86,'Stock by Location'!$E$5:$E$264,G$4)</f>
        <v>0</v>
      </c>
      <c r="H86" s="14" t="n">
        <f aca="false">SUM(C86:G86)</f>
        <v>1500</v>
      </c>
      <c r="I86" s="12" t="n">
        <f aca="false">INDEX(Products!$J$5:$J$93,MATCH(A86,Products!$A$5:$A$93,0))</f>
        <v>15</v>
      </c>
      <c r="J86" s="12" t="n">
        <f aca="false">H86*I86</f>
        <v>22500</v>
      </c>
    </row>
    <row r="87" customFormat="false" ht="15" hidden="false" customHeight="false" outlineLevel="0" collapsed="false">
      <c r="A87" s="10" t="s">
        <v>402</v>
      </c>
      <c r="B87" s="10" t="s">
        <v>403</v>
      </c>
      <c r="C87" s="23" t="n">
        <f aca="false">SUMIFS('Stock by Location'!$G$5:$G$264,'Stock by Location'!$A$5:$A$264,$A87,'Stock by Location'!$E$5:$E$264,C$4)</f>
        <v>500</v>
      </c>
      <c r="D87" s="23" t="n">
        <f aca="false">SUMIFS('Stock by Location'!$G$5:$G$264,'Stock by Location'!$A$5:$A$264,$A87,'Stock by Location'!$E$5:$E$264,D$4)</f>
        <v>0</v>
      </c>
      <c r="E87" s="23" t="n">
        <f aca="false">SUMIFS('Stock by Location'!$G$5:$G$264,'Stock by Location'!$A$5:$A$264,$A87,'Stock by Location'!$E$5:$E$264,E$4)</f>
        <v>0</v>
      </c>
      <c r="F87" s="23" t="n">
        <f aca="false">SUMIFS('Stock by Location'!$G$5:$G$264,'Stock by Location'!$A$5:$A$264,$A87,'Stock by Location'!$E$5:$E$264,F$4)</f>
        <v>0</v>
      </c>
      <c r="G87" s="23" t="n">
        <f aca="false">SUMIFS('Stock by Location'!$G$5:$G$264,'Stock by Location'!$A$5:$A$264,$A87,'Stock by Location'!$E$5:$E$264,G$4)</f>
        <v>0</v>
      </c>
      <c r="H87" s="14" t="n">
        <f aca="false">SUM(C87:G87)</f>
        <v>500</v>
      </c>
      <c r="I87" s="12" t="n">
        <f aca="false">INDEX(Products!$J$5:$J$93,MATCH(A87,Products!$A$5:$A$93,0))</f>
        <v>4</v>
      </c>
      <c r="J87" s="12" t="n">
        <f aca="false">H87*I87</f>
        <v>2000</v>
      </c>
    </row>
    <row r="88" customFormat="false" ht="15" hidden="false" customHeight="false" outlineLevel="0" collapsed="false">
      <c r="A88" s="15" t="s">
        <v>417</v>
      </c>
      <c r="B88" s="16"/>
      <c r="C88" s="17" t="n">
        <f aca="false">SUM(C5:C87)</f>
        <v>23784</v>
      </c>
      <c r="D88" s="17" t="n">
        <f aca="false">SUM(D5:D87)</f>
        <v>297</v>
      </c>
      <c r="E88" s="17" t="n">
        <f aca="false">SUM(E5:E87)</f>
        <v>266</v>
      </c>
      <c r="F88" s="17" t="n">
        <f aca="false">SUM(F5:F87)</f>
        <v>179</v>
      </c>
      <c r="G88" s="17" t="n">
        <f aca="false">SUM(G5:G87)</f>
        <v>220</v>
      </c>
      <c r="H88" s="17" t="n">
        <f aca="false">SUM(H5:H87)</f>
        <v>24746</v>
      </c>
      <c r="I88" s="16"/>
      <c r="J88" s="18" t="n">
        <f aca="false">SUM(J5:J87)</f>
        <v>20424776.5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27"/>
    <col collapsed="false" customWidth="true" hidden="false" outlineLevel="0" max="4" min="4" style="0" width="21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8" t="s">
        <v>587</v>
      </c>
    </row>
    <row r="2" customFormat="false" ht="15" hidden="false" customHeight="false" outlineLevel="0" collapsed="false">
      <c r="A2" s="2" t="s">
        <v>588</v>
      </c>
    </row>
    <row r="4" customFormat="false" ht="15" hidden="false" customHeight="false" outlineLevel="0" collapsed="false">
      <c r="A4" s="9" t="s">
        <v>589</v>
      </c>
      <c r="B4" s="9" t="s">
        <v>590</v>
      </c>
      <c r="C4" s="9" t="s">
        <v>591</v>
      </c>
      <c r="D4" s="9" t="s">
        <v>592</v>
      </c>
      <c r="E4" s="9" t="s">
        <v>486</v>
      </c>
    </row>
    <row r="5" customFormat="false" ht="15" hidden="false" customHeight="false" outlineLevel="0" collapsed="false">
      <c r="A5" s="10" t="s">
        <v>105</v>
      </c>
      <c r="B5" s="10" t="s">
        <v>593</v>
      </c>
      <c r="C5" s="22" t="n">
        <f aca="false">SUMIF('Stock by Location'!$D$5:$D$264,A5,'Stock by Location'!$I$5:$I$264)</f>
        <v>4248100</v>
      </c>
      <c r="D5" s="12" t="n">
        <v>4248100</v>
      </c>
      <c r="E5" s="12" t="n">
        <f aca="false">ROUND(C5-D5,2)</f>
        <v>0</v>
      </c>
    </row>
    <row r="6" customFormat="false" ht="15" hidden="false" customHeight="false" outlineLevel="0" collapsed="false">
      <c r="A6" s="10" t="s">
        <v>108</v>
      </c>
      <c r="B6" s="10" t="s">
        <v>594</v>
      </c>
      <c r="C6" s="22" t="n">
        <f aca="false">SUMIF('Stock by Location'!$D$5:$D$264,A6,'Stock by Location'!$I$5:$I$264)</f>
        <v>3843200</v>
      </c>
      <c r="D6" s="12" t="n">
        <v>3843200</v>
      </c>
      <c r="E6" s="12" t="n">
        <f aca="false">ROUND(C6-D6,2)</f>
        <v>0</v>
      </c>
    </row>
    <row r="7" customFormat="false" ht="15" hidden="false" customHeight="false" outlineLevel="0" collapsed="false">
      <c r="A7" s="10" t="s">
        <v>95</v>
      </c>
      <c r="B7" s="10" t="s">
        <v>595</v>
      </c>
      <c r="C7" s="22" t="n">
        <f aca="false">SUMIF('Stock by Location'!$D$5:$D$264,A7,'Stock by Location'!$I$5:$I$264)</f>
        <v>3780350</v>
      </c>
      <c r="D7" s="12" t="n">
        <v>3780350</v>
      </c>
      <c r="E7" s="12" t="n">
        <f aca="false">ROUND(C7-D7,2)</f>
        <v>0</v>
      </c>
    </row>
    <row r="8" customFormat="false" ht="15" hidden="false" customHeight="false" outlineLevel="0" collapsed="false">
      <c r="A8" s="10" t="s">
        <v>111</v>
      </c>
      <c r="B8" s="10" t="s">
        <v>596</v>
      </c>
      <c r="C8" s="22" t="n">
        <f aca="false">SUMIF('Stock by Location'!$D$5:$D$264,A8,'Stock by Location'!$I$5:$I$264)</f>
        <v>3248250</v>
      </c>
      <c r="D8" s="12" t="n">
        <v>3248250</v>
      </c>
      <c r="E8" s="12" t="n">
        <f aca="false">ROUND(C8-D8,2)</f>
        <v>0</v>
      </c>
    </row>
    <row r="9" customFormat="false" ht="15" hidden="false" customHeight="false" outlineLevel="0" collapsed="false">
      <c r="A9" s="10" t="s">
        <v>115</v>
      </c>
      <c r="B9" s="10" t="s">
        <v>597</v>
      </c>
      <c r="C9" s="22" t="n">
        <f aca="false">SUMIF('Stock by Location'!$D$5:$D$264,A9,'Stock by Location'!$I$5:$I$264)</f>
        <v>1394050</v>
      </c>
      <c r="D9" s="12" t="n">
        <v>1394050</v>
      </c>
      <c r="E9" s="12" t="n">
        <f aca="false">ROUND(C9-D9,2)</f>
        <v>0</v>
      </c>
    </row>
    <row r="10" customFormat="false" ht="15" hidden="false" customHeight="false" outlineLevel="0" collapsed="false">
      <c r="A10" s="10" t="s">
        <v>103</v>
      </c>
      <c r="B10" s="10" t="s">
        <v>598</v>
      </c>
      <c r="C10" s="22" t="n">
        <f aca="false">SUMIF('Stock by Location'!$D$5:$D$264,A10,'Stock by Location'!$I$5:$I$264)</f>
        <v>1545550</v>
      </c>
      <c r="D10" s="12" t="n">
        <v>1545550</v>
      </c>
      <c r="E10" s="12" t="n">
        <f aca="false">ROUND(C10-D10,2)</f>
        <v>0</v>
      </c>
    </row>
    <row r="11" customFormat="false" ht="15" hidden="false" customHeight="false" outlineLevel="0" collapsed="false">
      <c r="A11" s="10" t="s">
        <v>121</v>
      </c>
      <c r="B11" s="10" t="s">
        <v>599</v>
      </c>
      <c r="C11" s="22" t="n">
        <f aca="false">SUMIF('Stock by Location'!$D$5:$D$264,A11,'Stock by Location'!$I$5:$I$264)</f>
        <v>926951.5</v>
      </c>
      <c r="D11" s="12" t="n">
        <v>926951.5</v>
      </c>
      <c r="E11" s="12" t="n">
        <f aca="false">ROUND(C11-D11,2)</f>
        <v>0</v>
      </c>
    </row>
    <row r="12" customFormat="false" ht="15" hidden="false" customHeight="false" outlineLevel="0" collapsed="false">
      <c r="A12" s="10" t="s">
        <v>133</v>
      </c>
      <c r="B12" s="10" t="s">
        <v>600</v>
      </c>
      <c r="C12" s="22" t="n">
        <f aca="false">SUMIF('Stock by Location'!$D$5:$D$264,A12,'Stock by Location'!$I$5:$I$264)</f>
        <v>1438325</v>
      </c>
      <c r="D12" s="12" t="n">
        <v>1438325</v>
      </c>
      <c r="E12" s="12" t="n">
        <f aca="false">ROUND(C12-D12,2)</f>
        <v>0</v>
      </c>
    </row>
    <row r="13" customFormat="false" ht="15" hidden="false" customHeight="false" outlineLevel="0" collapsed="false">
      <c r="A13" s="15" t="s">
        <v>417</v>
      </c>
      <c r="B13" s="16"/>
      <c r="C13" s="18" t="n">
        <f aca="false">SUM(C5:C12)</f>
        <v>20424776.5</v>
      </c>
      <c r="D13" s="18" t="n">
        <f aca="false">SUM(D5:D12)</f>
        <v>20424776.5</v>
      </c>
      <c r="E13" s="18" t="n">
        <f aca="false">SUM(E5:E12)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9"/>
  </cols>
  <sheetData>
    <row r="1" customFormat="false" ht="16.15" hidden="false" customHeight="false" outlineLevel="0" collapsed="false">
      <c r="A1" s="8" t="s">
        <v>601</v>
      </c>
    </row>
    <row r="2" customFormat="false" ht="15" hidden="false" customHeight="false" outlineLevel="0" collapsed="false">
      <c r="A2" s="2" t="s">
        <v>602</v>
      </c>
    </row>
    <row r="4" customFormat="false" ht="15" hidden="false" customHeight="false" outlineLevel="0" collapsed="false">
      <c r="A4" s="9" t="s">
        <v>148</v>
      </c>
      <c r="B4" s="9" t="s">
        <v>149</v>
      </c>
      <c r="C4" s="9" t="s">
        <v>510</v>
      </c>
      <c r="D4" s="9" t="s">
        <v>540</v>
      </c>
      <c r="E4" s="9" t="s">
        <v>491</v>
      </c>
      <c r="F4" s="9" t="s">
        <v>603</v>
      </c>
      <c r="G4" s="9" t="s">
        <v>158</v>
      </c>
      <c r="H4" s="9" t="s">
        <v>604</v>
      </c>
    </row>
    <row r="5" customFormat="false" ht="15" hidden="false" customHeight="false" outlineLevel="0" collapsed="false">
      <c r="A5" s="10" t="s">
        <v>237</v>
      </c>
      <c r="B5" s="10" t="s">
        <v>238</v>
      </c>
      <c r="C5" s="10" t="s">
        <v>516</v>
      </c>
      <c r="D5" s="10" t="s">
        <v>543</v>
      </c>
      <c r="E5" s="14" t="n">
        <v>20</v>
      </c>
      <c r="F5" s="14" t="n">
        <v>60</v>
      </c>
      <c r="G5" s="10" t="s">
        <v>173</v>
      </c>
      <c r="H5" s="10" t="s">
        <v>605</v>
      </c>
    </row>
    <row r="6" customFormat="false" ht="15" hidden="false" customHeight="false" outlineLevel="0" collapsed="false">
      <c r="A6" s="10" t="s">
        <v>240</v>
      </c>
      <c r="B6" s="10" t="s">
        <v>241</v>
      </c>
      <c r="C6" s="10" t="s">
        <v>516</v>
      </c>
      <c r="D6" s="10" t="s">
        <v>543</v>
      </c>
      <c r="E6" s="14" t="n">
        <v>25</v>
      </c>
      <c r="F6" s="14" t="n">
        <v>80</v>
      </c>
      <c r="G6" s="10" t="s">
        <v>173</v>
      </c>
      <c r="H6" s="10" t="s">
        <v>605</v>
      </c>
    </row>
    <row r="7" customFormat="false" ht="15" hidden="false" customHeight="false" outlineLevel="0" collapsed="false">
      <c r="A7" s="10" t="s">
        <v>289</v>
      </c>
      <c r="B7" s="10" t="s">
        <v>290</v>
      </c>
      <c r="C7" s="10" t="s">
        <v>516</v>
      </c>
      <c r="D7" s="10" t="s">
        <v>543</v>
      </c>
      <c r="E7" s="14" t="n">
        <v>30</v>
      </c>
      <c r="F7" s="14" t="n">
        <v>90</v>
      </c>
      <c r="G7" s="10" t="s">
        <v>173</v>
      </c>
      <c r="H7" s="10" t="s">
        <v>605</v>
      </c>
    </row>
    <row r="8" customFormat="false" ht="15" hidden="false" customHeight="false" outlineLevel="0" collapsed="false">
      <c r="A8" s="10" t="s">
        <v>280</v>
      </c>
      <c r="B8" s="10" t="s">
        <v>281</v>
      </c>
      <c r="C8" s="10" t="s">
        <v>516</v>
      </c>
      <c r="D8" s="10" t="s">
        <v>543</v>
      </c>
      <c r="E8" s="14" t="n">
        <v>25</v>
      </c>
      <c r="F8" s="14" t="n">
        <v>80</v>
      </c>
      <c r="G8" s="10" t="s">
        <v>173</v>
      </c>
      <c r="H8" s="10" t="s">
        <v>605</v>
      </c>
    </row>
    <row r="9" customFormat="false" ht="15" hidden="false" customHeight="false" outlineLevel="0" collapsed="false">
      <c r="A9" s="10" t="s">
        <v>261</v>
      </c>
      <c r="B9" s="10" t="s">
        <v>262</v>
      </c>
      <c r="C9" s="10" t="s">
        <v>516</v>
      </c>
      <c r="D9" s="10" t="s">
        <v>543</v>
      </c>
      <c r="E9" s="14" t="n">
        <v>10</v>
      </c>
      <c r="F9" s="14" t="n">
        <v>40</v>
      </c>
      <c r="G9" s="10" t="s">
        <v>173</v>
      </c>
      <c r="H9" s="10" t="s">
        <v>605</v>
      </c>
    </row>
    <row r="10" customFormat="false" ht="15" hidden="false" customHeight="false" outlineLevel="0" collapsed="false">
      <c r="A10" s="10" t="s">
        <v>223</v>
      </c>
      <c r="B10" s="10" t="s">
        <v>224</v>
      </c>
      <c r="C10" s="10" t="s">
        <v>516</v>
      </c>
      <c r="D10" s="10" t="s">
        <v>543</v>
      </c>
      <c r="E10" s="14" t="n">
        <v>10</v>
      </c>
      <c r="F10" s="14" t="n">
        <v>40</v>
      </c>
      <c r="G10" s="10" t="s">
        <v>173</v>
      </c>
      <c r="H10" s="10" t="s">
        <v>605</v>
      </c>
    </row>
    <row r="11" customFormat="false" ht="15" hidden="false" customHeight="false" outlineLevel="0" collapsed="false">
      <c r="A11" s="10" t="s">
        <v>228</v>
      </c>
      <c r="B11" s="10" t="s">
        <v>229</v>
      </c>
      <c r="C11" s="10" t="s">
        <v>516</v>
      </c>
      <c r="D11" s="10" t="s">
        <v>543</v>
      </c>
      <c r="E11" s="14" t="n">
        <v>12</v>
      </c>
      <c r="F11" s="14" t="n">
        <v>45</v>
      </c>
      <c r="G11" s="10" t="s">
        <v>173</v>
      </c>
      <c r="H11" s="10" t="s">
        <v>605</v>
      </c>
    </row>
    <row r="12" customFormat="false" ht="15" hidden="false" customHeight="false" outlineLevel="0" collapsed="false">
      <c r="A12" s="10" t="s">
        <v>270</v>
      </c>
      <c r="B12" s="10" t="s">
        <v>271</v>
      </c>
      <c r="C12" s="10" t="s">
        <v>516</v>
      </c>
      <c r="D12" s="10" t="s">
        <v>543</v>
      </c>
      <c r="E12" s="14" t="n">
        <v>20</v>
      </c>
      <c r="F12" s="14" t="n">
        <v>60</v>
      </c>
      <c r="G12" s="10" t="s">
        <v>173</v>
      </c>
      <c r="H12" s="10" t="s">
        <v>605</v>
      </c>
    </row>
    <row r="13" customFormat="false" ht="15" hidden="false" customHeight="false" outlineLevel="0" collapsed="false">
      <c r="A13" s="10" t="s">
        <v>330</v>
      </c>
      <c r="B13" s="10" t="s">
        <v>331</v>
      </c>
      <c r="C13" s="10" t="s">
        <v>516</v>
      </c>
      <c r="D13" s="10" t="s">
        <v>543</v>
      </c>
      <c r="E13" s="14" t="n">
        <v>20</v>
      </c>
      <c r="F13" s="14" t="n">
        <v>80</v>
      </c>
      <c r="G13" s="10" t="s">
        <v>300</v>
      </c>
      <c r="H13" s="10" t="s">
        <v>605</v>
      </c>
    </row>
    <row r="14" customFormat="false" ht="15" hidden="false" customHeight="false" outlineLevel="0" collapsed="false">
      <c r="A14" s="10" t="s">
        <v>318</v>
      </c>
      <c r="B14" s="10" t="s">
        <v>319</v>
      </c>
      <c r="C14" s="10" t="s">
        <v>516</v>
      </c>
      <c r="D14" s="10" t="s">
        <v>543</v>
      </c>
      <c r="E14" s="14" t="n">
        <v>40</v>
      </c>
      <c r="F14" s="14" t="n">
        <v>120</v>
      </c>
      <c r="G14" s="10" t="s">
        <v>300</v>
      </c>
      <c r="H14" s="10" t="s">
        <v>605</v>
      </c>
    </row>
    <row r="15" customFormat="false" ht="15" hidden="false" customHeight="false" outlineLevel="0" collapsed="false">
      <c r="A15" s="10" t="s">
        <v>309</v>
      </c>
      <c r="B15" s="10" t="s">
        <v>310</v>
      </c>
      <c r="C15" s="10" t="s">
        <v>516</v>
      </c>
      <c r="D15" s="10" t="s">
        <v>543</v>
      </c>
      <c r="E15" s="14" t="n">
        <v>80</v>
      </c>
      <c r="F15" s="14" t="n">
        <v>250</v>
      </c>
      <c r="G15" s="10" t="s">
        <v>300</v>
      </c>
      <c r="H15" s="10" t="s">
        <v>605</v>
      </c>
    </row>
    <row r="16" customFormat="false" ht="15" hidden="false" customHeight="false" outlineLevel="0" collapsed="false">
      <c r="A16" s="10" t="s">
        <v>315</v>
      </c>
      <c r="B16" s="10" t="s">
        <v>316</v>
      </c>
      <c r="C16" s="10" t="s">
        <v>516</v>
      </c>
      <c r="D16" s="10" t="s">
        <v>543</v>
      </c>
      <c r="E16" s="14" t="n">
        <v>50</v>
      </c>
      <c r="F16" s="14" t="n">
        <v>150</v>
      </c>
      <c r="G16" s="10" t="s">
        <v>300</v>
      </c>
      <c r="H16" s="10" t="s">
        <v>605</v>
      </c>
    </row>
    <row r="17" customFormat="false" ht="15" hidden="false" customHeight="false" outlineLevel="0" collapsed="false">
      <c r="A17" s="10" t="s">
        <v>349</v>
      </c>
      <c r="B17" s="10" t="s">
        <v>350</v>
      </c>
      <c r="C17" s="10" t="s">
        <v>516</v>
      </c>
      <c r="D17" s="10" t="s">
        <v>543</v>
      </c>
      <c r="E17" s="14" t="n">
        <v>60</v>
      </c>
      <c r="F17" s="14" t="n">
        <v>250</v>
      </c>
      <c r="G17" s="10" t="s">
        <v>173</v>
      </c>
      <c r="H17" s="10" t="s">
        <v>605</v>
      </c>
    </row>
    <row r="18" customFormat="false" ht="15" hidden="false" customHeight="false" outlineLevel="0" collapsed="false">
      <c r="A18" s="10" t="s">
        <v>352</v>
      </c>
      <c r="B18" s="10" t="s">
        <v>353</v>
      </c>
      <c r="C18" s="10" t="s">
        <v>516</v>
      </c>
      <c r="D18" s="10" t="s">
        <v>543</v>
      </c>
      <c r="E18" s="14" t="n">
        <v>60</v>
      </c>
      <c r="F18" s="14" t="n">
        <v>250</v>
      </c>
      <c r="G18" s="10" t="s">
        <v>173</v>
      </c>
      <c r="H18" s="10" t="s">
        <v>605</v>
      </c>
    </row>
    <row r="19" customFormat="false" ht="15" hidden="false" customHeight="false" outlineLevel="0" collapsed="false">
      <c r="A19" s="10" t="s">
        <v>354</v>
      </c>
      <c r="B19" s="10" t="s">
        <v>355</v>
      </c>
      <c r="C19" s="10" t="s">
        <v>516</v>
      </c>
      <c r="D19" s="10" t="s">
        <v>543</v>
      </c>
      <c r="E19" s="14" t="n">
        <v>60</v>
      </c>
      <c r="F19" s="14" t="n">
        <v>250</v>
      </c>
      <c r="G19" s="10" t="s">
        <v>173</v>
      </c>
      <c r="H19" s="10" t="s">
        <v>605</v>
      </c>
    </row>
    <row r="20" customFormat="false" ht="15" hidden="false" customHeight="false" outlineLevel="0" collapsed="false">
      <c r="A20" s="10" t="s">
        <v>356</v>
      </c>
      <c r="B20" s="10" t="s">
        <v>357</v>
      </c>
      <c r="C20" s="10" t="s">
        <v>516</v>
      </c>
      <c r="D20" s="10" t="s">
        <v>543</v>
      </c>
      <c r="E20" s="14" t="n">
        <v>60</v>
      </c>
      <c r="F20" s="14" t="n">
        <v>250</v>
      </c>
      <c r="G20" s="10" t="s">
        <v>173</v>
      </c>
      <c r="H20" s="10" t="s">
        <v>605</v>
      </c>
    </row>
    <row r="21" customFormat="false" ht="15" hidden="false" customHeight="false" outlineLevel="0" collapsed="false">
      <c r="A21" s="10" t="s">
        <v>333</v>
      </c>
      <c r="B21" s="10" t="s">
        <v>334</v>
      </c>
      <c r="C21" s="10" t="s">
        <v>516</v>
      </c>
      <c r="D21" s="10" t="s">
        <v>543</v>
      </c>
      <c r="E21" s="14" t="n">
        <v>150</v>
      </c>
      <c r="F21" s="14" t="n">
        <v>600</v>
      </c>
      <c r="G21" s="10" t="s">
        <v>173</v>
      </c>
      <c r="H21" s="10" t="s">
        <v>605</v>
      </c>
    </row>
    <row r="22" customFormat="false" ht="15" hidden="false" customHeight="false" outlineLevel="0" collapsed="false">
      <c r="A22" s="10" t="s">
        <v>337</v>
      </c>
      <c r="B22" s="10" t="s">
        <v>338</v>
      </c>
      <c r="C22" s="10" t="s">
        <v>516</v>
      </c>
      <c r="D22" s="10" t="s">
        <v>543</v>
      </c>
      <c r="E22" s="14" t="n">
        <v>80</v>
      </c>
      <c r="F22" s="14" t="n">
        <v>300</v>
      </c>
      <c r="G22" s="10" t="s">
        <v>173</v>
      </c>
      <c r="H22" s="10" t="s">
        <v>605</v>
      </c>
    </row>
    <row r="23" customFormat="false" ht="15" hidden="false" customHeight="false" outlineLevel="0" collapsed="false">
      <c r="A23" s="10" t="s">
        <v>358</v>
      </c>
      <c r="B23" s="10" t="s">
        <v>359</v>
      </c>
      <c r="C23" s="10" t="s">
        <v>516</v>
      </c>
      <c r="D23" s="10" t="s">
        <v>543</v>
      </c>
      <c r="E23" s="14" t="n">
        <v>800</v>
      </c>
      <c r="F23" s="14" t="n">
        <v>3000</v>
      </c>
      <c r="G23" s="10" t="s">
        <v>173</v>
      </c>
      <c r="H23" s="10" t="s">
        <v>605</v>
      </c>
    </row>
    <row r="24" customFormat="false" ht="15" hidden="false" customHeight="false" outlineLevel="0" collapsed="false">
      <c r="A24" s="10" t="s">
        <v>382</v>
      </c>
      <c r="B24" s="10" t="s">
        <v>383</v>
      </c>
      <c r="C24" s="10" t="s">
        <v>516</v>
      </c>
      <c r="D24" s="10" t="s">
        <v>543</v>
      </c>
      <c r="E24" s="14" t="n">
        <v>1000</v>
      </c>
      <c r="F24" s="14" t="n">
        <v>4000</v>
      </c>
      <c r="G24" s="10" t="s">
        <v>173</v>
      </c>
      <c r="H24" s="10" t="s">
        <v>605</v>
      </c>
    </row>
    <row r="25" customFormat="false" ht="15" hidden="false" customHeight="false" outlineLevel="0" collapsed="false">
      <c r="A25" s="10" t="s">
        <v>395</v>
      </c>
      <c r="B25" s="10" t="s">
        <v>396</v>
      </c>
      <c r="C25" s="10" t="s">
        <v>516</v>
      </c>
      <c r="D25" s="10" t="s">
        <v>543</v>
      </c>
      <c r="E25" s="14" t="n">
        <v>80</v>
      </c>
      <c r="F25" s="14" t="n">
        <v>300</v>
      </c>
      <c r="G25" s="10" t="s">
        <v>173</v>
      </c>
      <c r="H25" s="10" t="s">
        <v>605</v>
      </c>
    </row>
    <row r="26" customFormat="false" ht="15" hidden="false" customHeight="false" outlineLevel="0" collapsed="false">
      <c r="A26" s="10" t="s">
        <v>400</v>
      </c>
      <c r="B26" s="10" t="s">
        <v>401</v>
      </c>
      <c r="C26" s="10" t="s">
        <v>516</v>
      </c>
      <c r="D26" s="10" t="s">
        <v>543</v>
      </c>
      <c r="E26" s="14" t="n">
        <v>400</v>
      </c>
      <c r="F26" s="14" t="n">
        <v>1500</v>
      </c>
      <c r="G26" s="10" t="s">
        <v>173</v>
      </c>
      <c r="H26" s="10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4" min="4" style="0" width="39"/>
  </cols>
  <sheetData>
    <row r="1" customFormat="false" ht="16.15" hidden="false" customHeight="false" outlineLevel="0" collapsed="false">
      <c r="A1" s="8" t="s">
        <v>606</v>
      </c>
    </row>
    <row r="2" customFormat="false" ht="15" hidden="false" customHeight="false" outlineLevel="0" collapsed="false">
      <c r="A2" s="2" t="s">
        <v>607</v>
      </c>
    </row>
    <row r="4" customFormat="false" ht="15" hidden="false" customHeight="false" outlineLevel="0" collapsed="false">
      <c r="A4" s="9" t="s">
        <v>148</v>
      </c>
      <c r="B4" s="9" t="s">
        <v>149</v>
      </c>
      <c r="C4" s="9" t="s">
        <v>608</v>
      </c>
      <c r="D4" s="9" t="s">
        <v>609</v>
      </c>
    </row>
    <row r="5" customFormat="false" ht="15" hidden="false" customHeight="false" outlineLevel="0" collapsed="false">
      <c r="A5" s="10" t="s">
        <v>167</v>
      </c>
      <c r="B5" s="10" t="s">
        <v>168</v>
      </c>
      <c r="C5" s="14" t="n">
        <v>25</v>
      </c>
      <c r="D5" s="10" t="s">
        <v>610</v>
      </c>
    </row>
    <row r="6" customFormat="false" ht="15" hidden="false" customHeight="false" outlineLevel="0" collapsed="false">
      <c r="A6" s="10" t="s">
        <v>177</v>
      </c>
      <c r="B6" s="10" t="s">
        <v>178</v>
      </c>
      <c r="C6" s="14" t="n">
        <v>18</v>
      </c>
      <c r="D6" s="10" t="s">
        <v>611</v>
      </c>
    </row>
    <row r="7" customFormat="false" ht="15" hidden="false" customHeight="false" outlineLevel="0" collapsed="false">
      <c r="A7" s="10" t="s">
        <v>181</v>
      </c>
      <c r="B7" s="10" t="s">
        <v>182</v>
      </c>
      <c r="C7" s="14" t="n">
        <v>12</v>
      </c>
      <c r="D7" s="10" t="s">
        <v>612</v>
      </c>
    </row>
    <row r="8" customFormat="false" ht="15" hidden="false" customHeight="false" outlineLevel="0" collapsed="false">
      <c r="A8" s="10" t="s">
        <v>184</v>
      </c>
      <c r="B8" s="10" t="s">
        <v>185</v>
      </c>
      <c r="C8" s="14" t="n">
        <v>30</v>
      </c>
      <c r="D8" s="10" t="s">
        <v>613</v>
      </c>
    </row>
    <row r="9" customFormat="false" ht="15" hidden="false" customHeight="false" outlineLevel="0" collapsed="false">
      <c r="A9" s="10" t="s">
        <v>187</v>
      </c>
      <c r="B9" s="10" t="s">
        <v>188</v>
      </c>
      <c r="C9" s="14" t="n">
        <v>20</v>
      </c>
      <c r="D9" s="10" t="s">
        <v>614</v>
      </c>
    </row>
    <row r="10" customFormat="false" ht="15" hidden="false" customHeight="false" outlineLevel="0" collapsed="false">
      <c r="A10" s="10" t="s">
        <v>190</v>
      </c>
      <c r="B10" s="10" t="s">
        <v>191</v>
      </c>
      <c r="C10" s="14" t="n">
        <v>35</v>
      </c>
      <c r="D10" s="10" t="s">
        <v>615</v>
      </c>
    </row>
    <row r="11" customFormat="false" ht="15" hidden="false" customHeight="false" outlineLevel="0" collapsed="false">
      <c r="A11" s="10" t="s">
        <v>193</v>
      </c>
      <c r="B11" s="10" t="s">
        <v>194</v>
      </c>
      <c r="C11" s="14" t="n">
        <v>15</v>
      </c>
      <c r="D11" s="10" t="s">
        <v>616</v>
      </c>
    </row>
    <row r="12" customFormat="false" ht="15" hidden="false" customHeight="false" outlineLevel="0" collapsed="false">
      <c r="A12" s="10" t="s">
        <v>196</v>
      </c>
      <c r="B12" s="10" t="s">
        <v>197</v>
      </c>
      <c r="C12" s="14" t="n">
        <v>22</v>
      </c>
      <c r="D12" s="10" t="s">
        <v>617</v>
      </c>
    </row>
    <row r="13" customFormat="false" ht="15" hidden="false" customHeight="false" outlineLevel="0" collapsed="false">
      <c r="A13" s="10" t="s">
        <v>199</v>
      </c>
      <c r="B13" s="10" t="s">
        <v>200</v>
      </c>
      <c r="C13" s="14" t="n">
        <v>28</v>
      </c>
      <c r="D13" s="10" t="s">
        <v>618</v>
      </c>
    </row>
    <row r="14" customFormat="false" ht="15" hidden="false" customHeight="false" outlineLevel="0" collapsed="false">
      <c r="A14" s="10" t="s">
        <v>202</v>
      </c>
      <c r="B14" s="10" t="s">
        <v>203</v>
      </c>
      <c r="C14" s="14" t="n">
        <v>24</v>
      </c>
      <c r="D14" s="10" t="s">
        <v>619</v>
      </c>
    </row>
    <row r="15" customFormat="false" ht="15" hidden="false" customHeight="false" outlineLevel="0" collapsed="false">
      <c r="A15" s="10" t="s">
        <v>205</v>
      </c>
      <c r="B15" s="10" t="s">
        <v>206</v>
      </c>
      <c r="C15" s="14" t="n">
        <v>40</v>
      </c>
      <c r="D15" s="10" t="s">
        <v>620</v>
      </c>
    </row>
    <row r="16" customFormat="false" ht="15" hidden="false" customHeight="false" outlineLevel="0" collapsed="false">
      <c r="A16" s="10" t="s">
        <v>208</v>
      </c>
      <c r="B16" s="10" t="s">
        <v>209</v>
      </c>
      <c r="C16" s="14" t="n">
        <v>32</v>
      </c>
      <c r="D16" s="10" t="s">
        <v>621</v>
      </c>
    </row>
    <row r="17" customFormat="false" ht="15" hidden="false" customHeight="false" outlineLevel="0" collapsed="false">
      <c r="A17" s="10" t="s">
        <v>211</v>
      </c>
      <c r="B17" s="10" t="s">
        <v>212</v>
      </c>
      <c r="C17" s="14" t="n">
        <v>26</v>
      </c>
      <c r="D17" s="10" t="s">
        <v>622</v>
      </c>
    </row>
    <row r="18" customFormat="false" ht="15" hidden="false" customHeight="false" outlineLevel="0" collapsed="false">
      <c r="A18" s="10" t="s">
        <v>214</v>
      </c>
      <c r="B18" s="10" t="s">
        <v>215</v>
      </c>
      <c r="C18" s="14" t="n">
        <v>19</v>
      </c>
      <c r="D18" s="10" t="s">
        <v>623</v>
      </c>
    </row>
    <row r="19" customFormat="false" ht="15" hidden="false" customHeight="false" outlineLevel="0" collapsed="false">
      <c r="A19" s="10" t="s">
        <v>217</v>
      </c>
      <c r="B19" s="10" t="s">
        <v>218</v>
      </c>
      <c r="C19" s="14" t="n">
        <v>14</v>
      </c>
      <c r="D19" s="10" t="s">
        <v>624</v>
      </c>
    </row>
    <row r="20" customFormat="false" ht="15" hidden="false" customHeight="false" outlineLevel="0" collapsed="false">
      <c r="A20" s="10" t="s">
        <v>220</v>
      </c>
      <c r="B20" s="10" t="s">
        <v>221</v>
      </c>
      <c r="C20" s="14" t="n">
        <v>17</v>
      </c>
      <c r="D20" s="10" t="s">
        <v>625</v>
      </c>
    </row>
    <row r="21" customFormat="false" ht="15" hidden="false" customHeight="false" outlineLevel="0" collapsed="false">
      <c r="A21" s="10" t="s">
        <v>223</v>
      </c>
      <c r="B21" s="10" t="s">
        <v>224</v>
      </c>
      <c r="C21" s="14" t="n">
        <v>45</v>
      </c>
      <c r="D21" s="10" t="s">
        <v>626</v>
      </c>
    </row>
    <row r="22" customFormat="false" ht="15" hidden="false" customHeight="false" outlineLevel="0" collapsed="false">
      <c r="A22" s="10" t="s">
        <v>228</v>
      </c>
      <c r="B22" s="10" t="s">
        <v>229</v>
      </c>
      <c r="C22" s="14" t="n">
        <v>50</v>
      </c>
      <c r="D22" s="10" t="s">
        <v>627</v>
      </c>
    </row>
    <row r="23" customFormat="false" ht="15" hidden="false" customHeight="false" outlineLevel="0" collapsed="false">
      <c r="A23" s="10" t="s">
        <v>231</v>
      </c>
      <c r="B23" s="10" t="s">
        <v>232</v>
      </c>
      <c r="C23" s="14" t="n">
        <v>30</v>
      </c>
      <c r="D23" s="10" t="s">
        <v>628</v>
      </c>
    </row>
    <row r="24" customFormat="false" ht="15" hidden="false" customHeight="false" outlineLevel="0" collapsed="false">
      <c r="A24" s="10" t="s">
        <v>234</v>
      </c>
      <c r="B24" s="10" t="s">
        <v>235</v>
      </c>
      <c r="C24" s="14" t="n">
        <v>16</v>
      </c>
      <c r="D24" s="10" t="s">
        <v>629</v>
      </c>
    </row>
    <row r="25" customFormat="false" ht="15" hidden="false" customHeight="false" outlineLevel="0" collapsed="false">
      <c r="A25" s="10" t="s">
        <v>237</v>
      </c>
      <c r="B25" s="10" t="s">
        <v>238</v>
      </c>
      <c r="C25" s="14" t="n">
        <v>80</v>
      </c>
      <c r="D25" s="10" t="s">
        <v>630</v>
      </c>
    </row>
    <row r="26" customFormat="false" ht="15" hidden="false" customHeight="false" outlineLevel="0" collapsed="false">
      <c r="A26" s="10" t="s">
        <v>240</v>
      </c>
      <c r="B26" s="10" t="s">
        <v>241</v>
      </c>
      <c r="C26" s="14" t="n">
        <v>100</v>
      </c>
      <c r="D26" s="10" t="s">
        <v>631</v>
      </c>
    </row>
    <row r="27" customFormat="false" ht="15" hidden="false" customHeight="false" outlineLevel="0" collapsed="false">
      <c r="A27" s="10" t="s">
        <v>243</v>
      </c>
      <c r="B27" s="10" t="s">
        <v>244</v>
      </c>
      <c r="C27" s="14" t="n">
        <v>22</v>
      </c>
      <c r="D27" s="10" t="s">
        <v>632</v>
      </c>
    </row>
    <row r="28" customFormat="false" ht="15" hidden="false" customHeight="false" outlineLevel="0" collapsed="false">
      <c r="A28" s="10" t="s">
        <v>246</v>
      </c>
      <c r="B28" s="10" t="s">
        <v>247</v>
      </c>
      <c r="C28" s="14" t="n">
        <v>10</v>
      </c>
      <c r="D28" s="10" t="s">
        <v>633</v>
      </c>
    </row>
    <row r="29" customFormat="false" ht="15" hidden="false" customHeight="false" outlineLevel="0" collapsed="false">
      <c r="A29" s="10" t="s">
        <v>249</v>
      </c>
      <c r="B29" s="10" t="s">
        <v>250</v>
      </c>
      <c r="C29" s="14" t="n">
        <v>25</v>
      </c>
      <c r="D29" s="10" t="s">
        <v>634</v>
      </c>
    </row>
    <row r="30" customFormat="false" ht="15" hidden="false" customHeight="false" outlineLevel="0" collapsed="false">
      <c r="A30" s="10" t="s">
        <v>252</v>
      </c>
      <c r="B30" s="10" t="s">
        <v>253</v>
      </c>
      <c r="C30" s="14" t="n">
        <v>40</v>
      </c>
      <c r="D30" s="10" t="s">
        <v>635</v>
      </c>
    </row>
    <row r="31" customFormat="false" ht="15" hidden="false" customHeight="false" outlineLevel="0" collapsed="false">
      <c r="A31" s="10" t="s">
        <v>255</v>
      </c>
      <c r="B31" s="10" t="s">
        <v>256</v>
      </c>
      <c r="C31" s="14" t="n">
        <v>35</v>
      </c>
      <c r="D31" s="10" t="s">
        <v>636</v>
      </c>
    </row>
    <row r="32" customFormat="false" ht="15" hidden="false" customHeight="false" outlineLevel="0" collapsed="false">
      <c r="A32" s="10" t="s">
        <v>258</v>
      </c>
      <c r="B32" s="10" t="s">
        <v>259</v>
      </c>
      <c r="C32" s="14" t="n">
        <v>50</v>
      </c>
      <c r="D32" s="10" t="s">
        <v>637</v>
      </c>
    </row>
    <row r="33" customFormat="false" ht="15" hidden="false" customHeight="false" outlineLevel="0" collapsed="false">
      <c r="A33" s="10" t="s">
        <v>261</v>
      </c>
      <c r="B33" s="10" t="s">
        <v>262</v>
      </c>
      <c r="C33" s="14" t="n">
        <v>45</v>
      </c>
      <c r="D33" s="10" t="s">
        <v>638</v>
      </c>
    </row>
    <row r="34" customFormat="false" ht="15" hidden="false" customHeight="false" outlineLevel="0" collapsed="false">
      <c r="A34" s="10" t="s">
        <v>264</v>
      </c>
      <c r="B34" s="10" t="s">
        <v>265</v>
      </c>
      <c r="C34" s="14" t="n">
        <v>38</v>
      </c>
      <c r="D34" s="10" t="s">
        <v>639</v>
      </c>
    </row>
    <row r="35" customFormat="false" ht="15" hidden="false" customHeight="false" outlineLevel="0" collapsed="false">
      <c r="A35" s="10" t="s">
        <v>267</v>
      </c>
      <c r="B35" s="10" t="s">
        <v>268</v>
      </c>
      <c r="C35" s="14" t="n">
        <v>60</v>
      </c>
      <c r="D35" s="10" t="s">
        <v>640</v>
      </c>
    </row>
    <row r="36" customFormat="false" ht="15" hidden="false" customHeight="false" outlineLevel="0" collapsed="false">
      <c r="A36" s="10" t="s">
        <v>270</v>
      </c>
      <c r="B36" s="10" t="s">
        <v>271</v>
      </c>
      <c r="C36" s="14" t="n">
        <v>75</v>
      </c>
      <c r="D36" s="10" t="s">
        <v>641</v>
      </c>
    </row>
    <row r="37" customFormat="false" ht="15" hidden="false" customHeight="false" outlineLevel="0" collapsed="false">
      <c r="A37" s="10" t="s">
        <v>273</v>
      </c>
      <c r="B37" s="10" t="s">
        <v>274</v>
      </c>
      <c r="C37" s="14" t="n">
        <v>8</v>
      </c>
      <c r="D37" s="10" t="s">
        <v>642</v>
      </c>
    </row>
    <row r="38" customFormat="false" ht="15" hidden="false" customHeight="false" outlineLevel="0" collapsed="false">
      <c r="A38" s="10" t="s">
        <v>276</v>
      </c>
      <c r="B38" s="10" t="s">
        <v>277</v>
      </c>
      <c r="C38" s="14" t="n">
        <v>30</v>
      </c>
      <c r="D38" s="10" t="s">
        <v>643</v>
      </c>
    </row>
    <row r="39" customFormat="false" ht="15" hidden="false" customHeight="false" outlineLevel="0" collapsed="false">
      <c r="A39" s="10" t="s">
        <v>280</v>
      </c>
      <c r="B39" s="10" t="s">
        <v>281</v>
      </c>
      <c r="C39" s="14" t="n">
        <v>90</v>
      </c>
      <c r="D39" s="10" t="s">
        <v>644</v>
      </c>
    </row>
    <row r="40" customFormat="false" ht="15" hidden="false" customHeight="false" outlineLevel="0" collapsed="false">
      <c r="A40" s="10" t="s">
        <v>283</v>
      </c>
      <c r="B40" s="10" t="s">
        <v>284</v>
      </c>
      <c r="C40" s="14" t="n">
        <v>50</v>
      </c>
      <c r="D40" s="10" t="s">
        <v>645</v>
      </c>
    </row>
    <row r="41" customFormat="false" ht="15" hidden="false" customHeight="false" outlineLevel="0" collapsed="false">
      <c r="A41" s="10" t="s">
        <v>286</v>
      </c>
      <c r="B41" s="10" t="s">
        <v>287</v>
      </c>
      <c r="C41" s="14" t="n">
        <v>35</v>
      </c>
      <c r="D41" s="10" t="s">
        <v>646</v>
      </c>
    </row>
    <row r="42" customFormat="false" ht="15" hidden="false" customHeight="false" outlineLevel="0" collapsed="false">
      <c r="A42" s="10" t="s">
        <v>289</v>
      </c>
      <c r="B42" s="10" t="s">
        <v>290</v>
      </c>
      <c r="C42" s="14" t="n">
        <v>110</v>
      </c>
      <c r="D42" s="10" t="s">
        <v>647</v>
      </c>
    </row>
    <row r="43" customFormat="false" ht="15" hidden="false" customHeight="false" outlineLevel="0" collapsed="false">
      <c r="A43" s="10" t="s">
        <v>292</v>
      </c>
      <c r="B43" s="10" t="s">
        <v>293</v>
      </c>
      <c r="C43" s="14" t="n">
        <v>25</v>
      </c>
      <c r="D43" s="10" t="s">
        <v>648</v>
      </c>
    </row>
    <row r="44" customFormat="false" ht="15" hidden="false" customHeight="false" outlineLevel="0" collapsed="false">
      <c r="A44" s="10" t="s">
        <v>295</v>
      </c>
      <c r="B44" s="10" t="s">
        <v>296</v>
      </c>
      <c r="C44" s="14" t="n">
        <v>40</v>
      </c>
      <c r="D44" s="10" t="s">
        <v>649</v>
      </c>
    </row>
    <row r="45" customFormat="false" ht="15" hidden="false" customHeight="false" outlineLevel="0" collapsed="false">
      <c r="A45" s="10" t="s">
        <v>330</v>
      </c>
      <c r="B45" s="10" t="s">
        <v>331</v>
      </c>
      <c r="C45" s="14" t="n">
        <v>60</v>
      </c>
      <c r="D45" s="10" t="s">
        <v>650</v>
      </c>
    </row>
    <row r="46" customFormat="false" ht="15" hidden="false" customHeight="false" outlineLevel="0" collapsed="false">
      <c r="A46" s="15" t="s">
        <v>417</v>
      </c>
      <c r="B46" s="16"/>
      <c r="C46" s="17" t="n">
        <f aca="false">SUM(C5:C45)</f>
        <v>1546</v>
      </c>
      <c r="D46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2026-10-25T09:21:05Z</dcterms:created>
  <dc:creator>openpyxl</dc:creator>
  <dc:description/>
  <dc:language>en-US</dc:language>
  <cp:lastModifiedBy/>
  <dcterms:modified xsi:type="dcterms:W3CDTF">2026-10-25T09:21:05Z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